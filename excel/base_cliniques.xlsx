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projet-analyse-cliniques\data\"/>
    </mc:Choice>
  </mc:AlternateContent>
  <xr:revisionPtr revIDLastSave="0" documentId="13_ncr:1_{0A84FBF2-A797-4C6E-BFF0-92CAC2877843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Filtrage données " sheetId="17" r:id="rId1"/>
    <sheet name="Dashboard" sheetId="18" r:id="rId2"/>
    <sheet name="KPI_Dashboard" sheetId="19" r:id="rId3"/>
    <sheet name="Analyse_etablissement" sheetId="16" r:id="rId4"/>
    <sheet name="Analyse_departement" sheetId="9" r:id="rId5"/>
    <sheet name="Analyse_activites" sheetId="11" r:id="rId6"/>
    <sheet name="Analyse_duree_sejour" sheetId="12" r:id="rId7"/>
    <sheet name="Evolution_mensuelle" sheetId="14" r:id="rId8"/>
  </sheets>
  <externalReferences>
    <externalReference r:id="rId9"/>
  </externalReferences>
  <definedNames>
    <definedName name="Segment_Activité">#N/A</definedName>
    <definedName name="Segment_Année">#N/A</definedName>
    <definedName name="Segment_Département">#N/A</definedName>
    <definedName name="Segment_Établissement">#N/A</definedName>
  </definedNames>
  <calcPr calcId="191029"/>
  <pivotCaches>
    <pivotCache cacheId="0" r:id="rId10"/>
    <pivotCache cacheId="1" r:id="rId11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2"/>
        <x14:slicerCache r:id="rId13"/>
        <x14:slicerCache r:id="rId14"/>
        <x14:slicerCache r:id="rId15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9" l="1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A5" i="19"/>
  <c r="B5" i="19"/>
  <c r="D5" i="19"/>
</calcChain>
</file>

<file path=xl/sharedStrings.xml><?xml version="1.0" encoding="utf-8"?>
<sst xmlns="http://schemas.openxmlformats.org/spreadsheetml/2006/main" count="920" uniqueCount="39">
  <si>
    <t>ID</t>
  </si>
  <si>
    <t>Établissement</t>
  </si>
  <si>
    <t>Département</t>
  </si>
  <si>
    <t>Année</t>
  </si>
  <si>
    <t>Mois</t>
  </si>
  <si>
    <t>Activité</t>
  </si>
  <si>
    <t>Nombre de patients</t>
  </si>
  <si>
    <t>Nombre de séjours</t>
  </si>
  <si>
    <t>Durée moyenne (jours)</t>
  </si>
  <si>
    <t>Clinique Saint-Roch</t>
  </si>
  <si>
    <t>34</t>
  </si>
  <si>
    <t>Médecine</t>
  </si>
  <si>
    <t>Chirurgie</t>
  </si>
  <si>
    <t>Maternité</t>
  </si>
  <si>
    <t>Soins de réadaptation</t>
  </si>
  <si>
    <t>Clinique du Parc</t>
  </si>
  <si>
    <t>Clinique Toulouse Centre</t>
  </si>
  <si>
    <t>31</t>
  </si>
  <si>
    <t>Clinique des Cèdres</t>
  </si>
  <si>
    <t>Clinique Nîmes Santé</t>
  </si>
  <si>
    <t>30</t>
  </si>
  <si>
    <t>Clinique Perpignan Sud</t>
  </si>
  <si>
    <t>66</t>
  </si>
  <si>
    <t>Étiquettes de lignes</t>
  </si>
  <si>
    <t>Somme de Durée moyenne (jours)</t>
  </si>
  <si>
    <t>Total général</t>
  </si>
  <si>
    <t>Somme de Nombre de patients</t>
  </si>
  <si>
    <t>Le nombre total de patients par département</t>
  </si>
  <si>
    <t>(Tous)</t>
  </si>
  <si>
    <t>Les types d'activité par établissement</t>
  </si>
  <si>
    <t>établissement</t>
  </si>
  <si>
    <t xml:space="preserve"> La moyenne de la durée des séjours par type d'activité</t>
  </si>
  <si>
    <t>l'évolution mensuelle du nombre de patients en 2026</t>
  </si>
  <si>
    <t>Niveau d’activité</t>
  </si>
  <si>
    <t>Exploration interactive des données</t>
  </si>
  <si>
    <t>Somme de Nombre de séjours</t>
  </si>
  <si>
    <t>Nombre de Établissement</t>
  </si>
  <si>
    <t>Moyenne de Durée moyenne (jours)</t>
  </si>
  <si>
    <t>ACTIVITÉ DES ÉTABLISSEMENTS DE SANTÉ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</si>
</sst>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43" fontId="0" fillId="0" borderId="0" xfId="1" applyFont="1"/>
    <xf numFmtId="3" fontId="0" fillId="0" borderId="0" xfId="0" applyNumberFormat="1"/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2" fontId="0" fillId="0" borderId="0" xfId="0" applyNumberFormat="1"/>
    <xf numFmtId="0" fontId="6" fillId="5" borderId="0" xfId="0" applyFont="1" applyFill="1" applyAlignment="1">
      <alignment vertical="top"/>
    </xf>
    <xf numFmtId="0" fontId="6" fillId="4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Milliers" xfId="1" builtinId="3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[base_cliniques.xlsx]Evolution_mensuelle!Tableau croisé dynamique15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 b="1" i="0" u="none" strike="noStrike" baseline="0"/>
              <a:t>Évolution mensuelle du nombre de patients  2026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Evolution_mensuelle!$B$3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Evolution_mensuelle!$A$4:$A$10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Evolution_mensuelle!$B$4:$B$10</c:f>
              <c:numCache>
                <c:formatCode>General</c:formatCode>
                <c:ptCount val="6"/>
                <c:pt idx="0">
                  <c:v>9419</c:v>
                </c:pt>
                <c:pt idx="1">
                  <c:v>9986</c:v>
                </c:pt>
                <c:pt idx="2">
                  <c:v>8647</c:v>
                </c:pt>
                <c:pt idx="3">
                  <c:v>9969</c:v>
                </c:pt>
                <c:pt idx="4">
                  <c:v>8847</c:v>
                </c:pt>
                <c:pt idx="5">
                  <c:v>8903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9C-4DD1-82AD-E3544C0D66A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14924896"/>
        <c:axId val="1521821120"/>
      </c:lineChart>
      <c:catAx>
        <c:axId val="161492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1821120"/>
        <c:crosses val="autoZero"/>
        <c:auto val="1"/>
        <c:lblAlgn val="ctr"/>
        <c:lblOffset val="100"/>
        <c:noMultiLvlLbl val="0"/>
      </c:catAx>
      <c:valAx>
        <c:axId val="152182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492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1" l="1" r="1" t="1" header="0.5" footer="0.5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[base_cliniques.xlsx]Analyse_etablissement!Tableau croisé dynamique1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/>
              <a:t>Nombre de patients par établissement</a:t>
            </a:r>
          </a:p>
        </c:rich>
      </c:tx>
      <c:layout>
        <c:manualLayout>
          <c:xMode val="edge"/>
          <c:yMode val="edge"/>
          <c:x val="0.21790266841644793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Analyse_etablissement!$B$3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Analyse_etablissement!$A$4:$A$10</c:f>
              <c:strCache>
                <c:ptCount val="6"/>
                <c:pt idx="0">
                  <c:v>Clinique des Cèdres</c:v>
                </c:pt>
                <c:pt idx="1">
                  <c:v>Clinique du Parc</c:v>
                </c:pt>
                <c:pt idx="2">
                  <c:v>Clinique Nîmes Santé</c:v>
                </c:pt>
                <c:pt idx="3">
                  <c:v>Clinique Perpignan Sud</c:v>
                </c:pt>
                <c:pt idx="4">
                  <c:v>Clinique Saint-Roch</c:v>
                </c:pt>
                <c:pt idx="5">
                  <c:v>Clinique Toulouse Centre</c:v>
                </c:pt>
              </c:strCache>
            </c:strRef>
          </c:cat>
          <c:val>
            <c:numRef>
              <c:f>Analyse_etablissement!$B$4:$B$10</c:f>
              <c:numCache>
                <c:formatCode>General</c:formatCode>
                <c:ptCount val="6"/>
                <c:pt idx="0">
                  <c:v>17716</c:v>
                </c:pt>
                <c:pt idx="1">
                  <c:v>18252</c:v>
                </c:pt>
                <c:pt idx="2">
                  <c:v>18487</c:v>
                </c:pt>
                <c:pt idx="3">
                  <c:v>19977</c:v>
                </c:pt>
                <c:pt idx="4">
                  <c:v>19348</c:v>
                </c:pt>
                <c:pt idx="5">
                  <c:v>16557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1-4D50-9B3B-3A9FFD0E85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41636447"/>
        <c:axId val="1441634047"/>
      </c:barChart>
      <c:catAx>
        <c:axId val="1441636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1634047"/>
        <c:crosses val="autoZero"/>
        <c:auto val="1"/>
        <c:lblAlgn val="ctr"/>
        <c:lblOffset val="100"/>
        <c:noMultiLvlLbl val="0"/>
      </c:catAx>
      <c:valAx>
        <c:axId val="144163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163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[base_cliniques.xlsx]Analyse_activites!Tableau croisé dynamique12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 b="1" i="0" u="none" strike="noStrike" baseline="0"/>
              <a:t>Nombre de patients par type d’activité</a:t>
            </a:r>
          </a:p>
        </c:rich>
      </c:tx>
      <c:layout>
        <c:manualLayout>
          <c:xMode val="edge"/>
          <c:yMode val="edge"/>
          <c:x val="0.13374162703158984"/>
          <c:y val="0.15600624088513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Analyse_activites!$B$3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Analyse_activites!$A$4:$A$8</c:f>
              <c:strCache>
                <c:ptCount val="4"/>
                <c:pt idx="0">
                  <c:v>Chirurgie</c:v>
                </c:pt>
                <c:pt idx="1">
                  <c:v>Maternité</c:v>
                </c:pt>
                <c:pt idx="2">
                  <c:v>Médecine</c:v>
                </c:pt>
                <c:pt idx="3">
                  <c:v>Soins de réadaptation</c:v>
                </c:pt>
              </c:strCache>
            </c:strRef>
          </c:cat>
          <c:val>
            <c:numRef>
              <c:f>Analyse_activites!$B$4:$B$8</c:f>
              <c:numCache>
                <c:formatCode>General</c:formatCode>
                <c:ptCount val="4"/>
                <c:pt idx="0">
                  <c:v>28054</c:v>
                </c:pt>
                <c:pt idx="1">
                  <c:v>26535</c:v>
                </c:pt>
                <c:pt idx="2">
                  <c:v>28771</c:v>
                </c:pt>
                <c:pt idx="3">
                  <c:v>26977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A-4C0E-B1BE-8DD8550FC2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4900768"/>
        <c:axId val="1521819200"/>
      </c:barChart>
      <c:catAx>
        <c:axId val="161490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1819200"/>
        <c:crosses val="autoZero"/>
        <c:auto val="1"/>
        <c:lblAlgn val="ctr"/>
        <c:lblOffset val="100"/>
        <c:noMultiLvlLbl val="0"/>
      </c:catAx>
      <c:valAx>
        <c:axId val="152181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490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[base_cliniques.xlsx]Analyse_departement!Tableau croisé dynamique10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 b="1" i="0" u="none" strike="noStrike" baseline="0"/>
              <a:t>Nombre de patients par département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Analyse_departement!$B$3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Analyse_departement!$A$4:$A$8</c:f>
              <c:strCache>
                <c:ptCount val="4"/>
                <c:pt idx="0">
                  <c:v>30</c:v>
                </c:pt>
                <c:pt idx="1">
                  <c:v>31</c:v>
                </c:pt>
                <c:pt idx="2">
                  <c:v>34</c:v>
                </c:pt>
                <c:pt idx="3">
                  <c:v>66</c:v>
                </c:pt>
              </c:strCache>
            </c:strRef>
          </c:cat>
          <c:val>
            <c:numRef>
              <c:f>Analyse_departement!$B$4:$B$8</c:f>
              <c:numCache>
                <c:formatCode>General</c:formatCode>
                <c:ptCount val="4"/>
                <c:pt idx="0">
                  <c:v>18487</c:v>
                </c:pt>
                <c:pt idx="1">
                  <c:v>34273</c:v>
                </c:pt>
                <c:pt idx="2">
                  <c:v>37600</c:v>
                </c:pt>
                <c:pt idx="3">
                  <c:v>19977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F-47B4-9F00-FE08356D0B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4170768"/>
        <c:axId val="1521812960"/>
      </c:barChart>
      <c:catAx>
        <c:axId val="117417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1812960"/>
        <c:crosses val="autoZero"/>
        <c:auto val="1"/>
        <c:lblAlgn val="ctr"/>
        <c:lblOffset val="100"/>
        <c:noMultiLvlLbl val="0"/>
      </c:catAx>
      <c:valAx>
        <c:axId val="15218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417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[base_cliniques.xlsx]Analyse_etablissement!Tableau croisé dynamique1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Nombre de patients par établissement</a:t>
            </a:r>
          </a:p>
        </c:rich>
      </c:tx>
      <c:layout>
        <c:manualLayout>
          <c:xMode val="edge"/>
          <c:yMode val="edge"/>
          <c:x val="0.21790266841644793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Analyse_etablissement!$B$3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Analyse_etablissement!$A$4:$A$10</c:f>
              <c:strCache>
                <c:ptCount val="6"/>
                <c:pt idx="0">
                  <c:v>Clinique des Cèdres</c:v>
                </c:pt>
                <c:pt idx="1">
                  <c:v>Clinique du Parc</c:v>
                </c:pt>
                <c:pt idx="2">
                  <c:v>Clinique Nîmes Santé</c:v>
                </c:pt>
                <c:pt idx="3">
                  <c:v>Clinique Perpignan Sud</c:v>
                </c:pt>
                <c:pt idx="4">
                  <c:v>Clinique Saint-Roch</c:v>
                </c:pt>
                <c:pt idx="5">
                  <c:v>Clinique Toulouse Centre</c:v>
                </c:pt>
              </c:strCache>
            </c:strRef>
          </c:cat>
          <c:val>
            <c:numRef>
              <c:f>Analyse_etablissement!$B$4:$B$10</c:f>
              <c:numCache>
                <c:formatCode>General</c:formatCode>
                <c:ptCount val="6"/>
                <c:pt idx="0">
                  <c:v>17716</c:v>
                </c:pt>
                <c:pt idx="1">
                  <c:v>18252</c:v>
                </c:pt>
                <c:pt idx="2">
                  <c:v>18487</c:v>
                </c:pt>
                <c:pt idx="3">
                  <c:v>19977</c:v>
                </c:pt>
                <c:pt idx="4">
                  <c:v>19348</c:v>
                </c:pt>
                <c:pt idx="5">
                  <c:v>16557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9-4977-B8DF-F4FB9CB9A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1636447"/>
        <c:axId val="1441634047"/>
      </c:barChart>
      <c:catAx>
        <c:axId val="1441636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1634047"/>
        <c:crosses val="autoZero"/>
        <c:auto val="1"/>
        <c:lblAlgn val="ctr"/>
        <c:lblOffset val="100"/>
        <c:noMultiLvlLbl val="0"/>
      </c:catAx>
      <c:valAx>
        <c:axId val="144163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163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[base_cliniques.xlsx]Analyse_departement!Tableau croisé dynamique10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/>
              <a:t>Nombre de patients par département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Analyse_departement!$B$3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Analyse_departement!$A$4:$A$8</c:f>
              <c:strCache>
                <c:ptCount val="4"/>
                <c:pt idx="0">
                  <c:v>30</c:v>
                </c:pt>
                <c:pt idx="1">
                  <c:v>31</c:v>
                </c:pt>
                <c:pt idx="2">
                  <c:v>34</c:v>
                </c:pt>
                <c:pt idx="3">
                  <c:v>66</c:v>
                </c:pt>
              </c:strCache>
            </c:strRef>
          </c:cat>
          <c:val>
            <c:numRef>
              <c:f>Analyse_departement!$B$4:$B$8</c:f>
              <c:numCache>
                <c:formatCode>General</c:formatCode>
                <c:ptCount val="4"/>
                <c:pt idx="0">
                  <c:v>18487</c:v>
                </c:pt>
                <c:pt idx="1">
                  <c:v>34273</c:v>
                </c:pt>
                <c:pt idx="2">
                  <c:v>37600</c:v>
                </c:pt>
                <c:pt idx="3">
                  <c:v>19977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E-4431-A599-6C5EEFFEA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4170768"/>
        <c:axId val="1521812960"/>
      </c:barChart>
      <c:catAx>
        <c:axId val="117417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1812960"/>
        <c:crosses val="autoZero"/>
        <c:auto val="1"/>
        <c:lblAlgn val="ctr"/>
        <c:lblOffset val="100"/>
        <c:noMultiLvlLbl val="0"/>
      </c:catAx>
      <c:valAx>
        <c:axId val="15218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417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[base_cliniques.xlsx]Analyse_activites!Tableau croisé dynamique12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Nombre de patients par type d’activité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Analyse_activites!$B$3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Analyse_activites!$A$4:$A$8</c:f>
              <c:strCache>
                <c:ptCount val="4"/>
                <c:pt idx="0">
                  <c:v>Chirurgie</c:v>
                </c:pt>
                <c:pt idx="1">
                  <c:v>Maternité</c:v>
                </c:pt>
                <c:pt idx="2">
                  <c:v>Médecine</c:v>
                </c:pt>
                <c:pt idx="3">
                  <c:v>Soins de réadaptation</c:v>
                </c:pt>
              </c:strCache>
            </c:strRef>
          </c:cat>
          <c:val>
            <c:numRef>
              <c:f>Analyse_activites!$B$4:$B$8</c:f>
              <c:numCache>
                <c:formatCode>General</c:formatCode>
                <c:ptCount val="4"/>
                <c:pt idx="0">
                  <c:v>28054</c:v>
                </c:pt>
                <c:pt idx="1">
                  <c:v>26535</c:v>
                </c:pt>
                <c:pt idx="2">
                  <c:v>28771</c:v>
                </c:pt>
                <c:pt idx="3">
                  <c:v>26977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6-409F-8D2D-A54281C93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900768"/>
        <c:axId val="1521819200"/>
      </c:barChart>
      <c:catAx>
        <c:axId val="161490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1819200"/>
        <c:crosses val="autoZero"/>
        <c:auto val="1"/>
        <c:lblAlgn val="ctr"/>
        <c:lblOffset val="100"/>
        <c:noMultiLvlLbl val="0"/>
      </c:catAx>
      <c:valAx>
        <c:axId val="152181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490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[base_cliniques.xlsx]Analyse_duree_sejour!Tableau croisé dynamique13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Analyse_duree_sejour!$B$3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Analyse_duree_sejour!$A$4:$A$8</c:f>
              <c:strCache>
                <c:ptCount val="4"/>
                <c:pt idx="0">
                  <c:v>Chirurgie</c:v>
                </c:pt>
                <c:pt idx="1">
                  <c:v>Maternité</c:v>
                </c:pt>
                <c:pt idx="2">
                  <c:v>Médecine</c:v>
                </c:pt>
                <c:pt idx="3">
                  <c:v>Soins de réadaptation</c:v>
                </c:pt>
              </c:strCache>
            </c:strRef>
          </c:cat>
          <c:val>
            <c:numRef>
              <c:f>Analyse_duree_sejour!$B$4:$B$8</c:f>
              <c:numCache>
                <c:formatCode>General</c:formatCode>
                <c:ptCount val="4"/>
                <c:pt idx="0">
                  <c:v>424.60000000000008</c:v>
                </c:pt>
                <c:pt idx="1">
                  <c:v>364.59999999999997</c:v>
                </c:pt>
                <c:pt idx="2">
                  <c:v>446.80000000000018</c:v>
                </c:pt>
                <c:pt idx="3">
                  <c:v>389.50000000000006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0-46E1-ACEA-689D59196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937376"/>
        <c:axId val="1441804160"/>
      </c:barChart>
      <c:catAx>
        <c:axId val="175293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1804160"/>
        <c:crosses val="autoZero"/>
        <c:auto val="1"/>
        <c:lblAlgn val="ctr"/>
        <c:lblOffset val="100"/>
        <c:noMultiLvlLbl val="0"/>
      </c:catAx>
      <c:valAx>
        <c:axId val="144180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293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[base_cliniques.xlsx]Evolution_mensuelle!Tableau croisé dynamique15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Évolution mensuelle du nombre de patients  2026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Evolution_mensuelle!$B$3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Evolution_mensuelle!$A$4:$A$10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Evolution_mensuelle!$B$4:$B$10</c:f>
              <c:numCache>
                <c:formatCode>General</c:formatCode>
                <c:ptCount val="6"/>
                <c:pt idx="0">
                  <c:v>9419</c:v>
                </c:pt>
                <c:pt idx="1">
                  <c:v>9986</c:v>
                </c:pt>
                <c:pt idx="2">
                  <c:v>8647</c:v>
                </c:pt>
                <c:pt idx="3">
                  <c:v>9969</c:v>
                </c:pt>
                <c:pt idx="4">
                  <c:v>8847</c:v>
                </c:pt>
                <c:pt idx="5">
                  <c:v>8903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7-467A-9AA9-300669EC1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4924896"/>
        <c:axId val="1521821120"/>
      </c:lineChart>
      <c:catAx>
        <c:axId val="161492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1821120"/>
        <c:crosses val="autoZero"/>
        <c:auto val="1"/>
        <c:lblAlgn val="ctr"/>
        <c:lblOffset val="100"/>
        <c:noMultiLvlLbl val="0"/>
      </c:catAx>
      <c:valAx>
        <c:axId val="152182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492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428621</xdr:colOff>
      <xdr:row>5</xdr:row>
      <xdr:rowOff>4762</xdr:rowOff>
    </xdr:from>
    <xdr:to>
      <xdr:col>6</xdr:col>
      <xdr:colOff>438149</xdr:colOff>
      <xdr:row>12</xdr:row>
      <xdr:rowOff>161924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Établissement">
              <a:extLst>
                <a:ext uri="{FF2B5EF4-FFF2-40B4-BE49-F238E27FC236}">
                  <a16:creationId xmlns:a16="http://schemas.microsoft.com/office/drawing/2014/main" id="{7FB92B97-8865-0228-BC8D-024AA5E78C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Établisse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7550" y="923245"/>
              <a:ext cx="3254832" cy="14430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114300</xdr:colOff>
      <xdr:row>5</xdr:row>
      <xdr:rowOff>14287</xdr:rowOff>
    </xdr:from>
    <xdr:to>
      <xdr:col>2</xdr:col>
      <xdr:colOff>133350</xdr:colOff>
      <xdr:row>13</xdr:row>
      <xdr:rowOff>38100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Département">
              <a:extLst>
                <a:ext uri="{FF2B5EF4-FFF2-40B4-BE49-F238E27FC236}">
                  <a16:creationId xmlns:a16="http://schemas.microsoft.com/office/drawing/2014/main" id="{92859AFA-BBF4-7B49-C73D-1D9E42B26F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éparte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932770"/>
              <a:ext cx="1787979" cy="14933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1004888</xdr:colOff>
      <xdr:row>5</xdr:row>
      <xdr:rowOff>33337</xdr:rowOff>
    </xdr:from>
    <xdr:to>
      <xdr:col>7</xdr:col>
      <xdr:colOff>862013</xdr:colOff>
      <xdr:row>12</xdr:row>
      <xdr:rowOff>171450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Année">
              <a:extLst>
                <a:ext uri="{FF2B5EF4-FFF2-40B4-BE49-F238E27FC236}">
                  <a16:creationId xmlns:a16="http://schemas.microsoft.com/office/drawing/2014/main" id="{ACB18078-86B4-C3CC-4740-03DA021CF8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9121" y="951820"/>
              <a:ext cx="1211035" cy="14239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295274</xdr:colOff>
      <xdr:row>4</xdr:row>
      <xdr:rowOff>171449</xdr:rowOff>
    </xdr:from>
    <xdr:to>
      <xdr:col>9</xdr:col>
      <xdr:colOff>590549</xdr:colOff>
      <xdr:row>12</xdr:row>
      <xdr:rowOff>161924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Activité">
              <a:extLst>
                <a:ext uri="{FF2B5EF4-FFF2-40B4-BE49-F238E27FC236}">
                  <a16:creationId xmlns:a16="http://schemas.microsoft.com/office/drawing/2014/main" id="{A5BFEA1D-664D-CAFD-B8C0-25E305D6B0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tivité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56095" y="906235"/>
              <a:ext cx="1826080" cy="14600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121227</xdr:colOff>
      <xdr:row>2</xdr:row>
      <xdr:rowOff>164522</xdr:rowOff>
    </xdr:from>
    <xdr:to>
      <xdr:col>3</xdr:col>
      <xdr:colOff>155865</xdr:colOff>
      <xdr:row>5</xdr:row>
      <xdr:rowOff>103909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4691157-4512-7AF2-2463-5C01FE91D8FD}"/>
            </a:ext>
          </a:extLst>
        </xdr:cNvPr>
        <xdr:cNvSpPr/>
      </xdr:nvSpPr>
      <xdr:spPr>
        <a:xfrm>
          <a:off x="121227" y="528204"/>
          <a:ext cx="2736274" cy="48491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400" b="1">
              <a:solidFill>
                <a:sysClr val="windowText" lastClr="000000"/>
              </a:solidFill>
            </a:rPr>
            <a:t>TOTAL PATIENTS</a:t>
          </a:r>
        </a:p>
      </xdr:txBody>
    </xdr:sp>
    <xdr:clientData/>
  </xdr:twoCellAnchor>
  <xdr:twoCellAnchor>
    <xdr:from>
      <xdr:col>0</xdr:col>
      <xdr:colOff>773396</xdr:colOff>
      <xdr:row>4</xdr:row>
      <xdr:rowOff>60613</xdr:rowOff>
    </xdr:from>
    <xdr:to>
      <xdr:col>2</xdr:col>
      <xdr:colOff>398319</xdr:colOff>
      <xdr:row>5</xdr:row>
      <xdr:rowOff>57557</xdr:rowOff>
    </xdr:to>
    <xdr:sp macro="" textlink="KPI_Dashboard!D5">
      <xdr:nvSpPr>
        <xdr:cNvPr id="3" name="ZoneTexte 2">
          <a:extLst>
            <a:ext uri="{FF2B5EF4-FFF2-40B4-BE49-F238E27FC236}">
              <a16:creationId xmlns:a16="http://schemas.microsoft.com/office/drawing/2014/main" id="{39D18CAA-C20F-AA71-E0F4-A51CD37DAF82}"/>
            </a:ext>
          </a:extLst>
        </xdr:cNvPr>
        <xdr:cNvSpPr txBox="1"/>
      </xdr:nvSpPr>
      <xdr:spPr>
        <a:xfrm>
          <a:off x="773396" y="787977"/>
          <a:ext cx="1426014" cy="17878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2A8C83A-2C87-4608-986D-267A537ECB8A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110 337</a:t>
          </a:fld>
          <a:endParaRPr lang="en-US" sz="1200" b="1"/>
        </a:p>
      </xdr:txBody>
    </xdr:sp>
    <xdr:clientData/>
  </xdr:twoCellAnchor>
  <xdr:twoCellAnchor>
    <xdr:from>
      <xdr:col>3</xdr:col>
      <xdr:colOff>666750</xdr:colOff>
      <xdr:row>2</xdr:row>
      <xdr:rowOff>165032</xdr:rowOff>
    </xdr:from>
    <xdr:to>
      <xdr:col>6</xdr:col>
      <xdr:colOff>606135</xdr:colOff>
      <xdr:row>5</xdr:row>
      <xdr:rowOff>69272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FCD9CD2-166E-6ABC-FF02-69C361BE3CCC}"/>
            </a:ext>
          </a:extLst>
        </xdr:cNvPr>
        <xdr:cNvSpPr/>
      </xdr:nvSpPr>
      <xdr:spPr>
        <a:xfrm>
          <a:off x="3368386" y="528714"/>
          <a:ext cx="2641022" cy="449763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400" b="1"/>
            <a:t>TOTAL</a:t>
          </a:r>
          <a:r>
            <a:rPr lang="fr-FR" sz="1400"/>
            <a:t>  </a:t>
          </a:r>
          <a:r>
            <a:rPr lang="fr-FR" sz="1400" b="1"/>
            <a:t>SÉJOURS</a:t>
          </a:r>
        </a:p>
      </xdr:txBody>
    </xdr:sp>
    <xdr:clientData/>
  </xdr:twoCellAnchor>
  <xdr:twoCellAnchor>
    <xdr:from>
      <xdr:col>0</xdr:col>
      <xdr:colOff>123967</xdr:colOff>
      <xdr:row>6</xdr:row>
      <xdr:rowOff>148392</xdr:rowOff>
    </xdr:from>
    <xdr:to>
      <xdr:col>3</xdr:col>
      <xdr:colOff>181841</xdr:colOff>
      <xdr:row>9</xdr:row>
      <xdr:rowOff>129886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76BBE1D-05A3-4625-B30D-4590BF42D8BF}"/>
            </a:ext>
          </a:extLst>
        </xdr:cNvPr>
        <xdr:cNvSpPr/>
      </xdr:nvSpPr>
      <xdr:spPr>
        <a:xfrm>
          <a:off x="123967" y="1239437"/>
          <a:ext cx="2759510" cy="527018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400" b="1"/>
            <a:t>NOMBRE D’ÉTABLISSEMENTS</a:t>
          </a:r>
        </a:p>
      </xdr:txBody>
    </xdr:sp>
    <xdr:clientData/>
  </xdr:twoCellAnchor>
  <xdr:twoCellAnchor>
    <xdr:from>
      <xdr:col>3</xdr:col>
      <xdr:colOff>684068</xdr:colOff>
      <xdr:row>6</xdr:row>
      <xdr:rowOff>151169</xdr:rowOff>
    </xdr:from>
    <xdr:to>
      <xdr:col>6</xdr:col>
      <xdr:colOff>623454</xdr:colOff>
      <xdr:row>9</xdr:row>
      <xdr:rowOff>129886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7DE6F47-F840-499A-BEB8-944B72D4E511}"/>
            </a:ext>
          </a:extLst>
        </xdr:cNvPr>
        <xdr:cNvSpPr/>
      </xdr:nvSpPr>
      <xdr:spPr>
        <a:xfrm>
          <a:off x="3385704" y="1242214"/>
          <a:ext cx="2641023" cy="524241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400" b="1"/>
            <a:t>DURÉE</a:t>
          </a:r>
          <a:r>
            <a:rPr lang="fr-FR" sz="1400"/>
            <a:t> </a:t>
          </a:r>
          <a:r>
            <a:rPr lang="fr-FR" sz="1400" b="1"/>
            <a:t>MOYENNE</a:t>
          </a:r>
          <a:r>
            <a:rPr lang="fr-FR" sz="1400"/>
            <a:t> </a:t>
          </a:r>
          <a:r>
            <a:rPr lang="fr-FR" sz="1400" b="1"/>
            <a:t>DE</a:t>
          </a:r>
          <a:r>
            <a:rPr lang="fr-FR" sz="1400"/>
            <a:t> </a:t>
          </a:r>
          <a:r>
            <a:rPr lang="fr-FR" sz="1400" b="1"/>
            <a:t>SÉJOUR</a:t>
          </a:r>
        </a:p>
      </xdr:txBody>
    </xdr:sp>
    <xdr:clientData/>
  </xdr:twoCellAnchor>
  <xdr:twoCellAnchor>
    <xdr:from>
      <xdr:col>4</xdr:col>
      <xdr:colOff>225137</xdr:colOff>
      <xdr:row>4</xdr:row>
      <xdr:rowOff>51953</xdr:rowOff>
    </xdr:from>
    <xdr:to>
      <xdr:col>6</xdr:col>
      <xdr:colOff>86592</xdr:colOff>
      <xdr:row>5</xdr:row>
      <xdr:rowOff>25975</xdr:rowOff>
    </xdr:to>
    <xdr:sp macro="" textlink="KPI_Dashboard!B5">
      <xdr:nvSpPr>
        <xdr:cNvPr id="19" name="ZoneTexte 18">
          <a:extLst>
            <a:ext uri="{FF2B5EF4-FFF2-40B4-BE49-F238E27FC236}">
              <a16:creationId xmlns:a16="http://schemas.microsoft.com/office/drawing/2014/main" id="{FDCE1781-F01F-4899-9D66-727907F65F4A}"/>
            </a:ext>
          </a:extLst>
        </xdr:cNvPr>
        <xdr:cNvSpPr txBox="1"/>
      </xdr:nvSpPr>
      <xdr:spPr>
        <a:xfrm>
          <a:off x="3827319" y="779317"/>
          <a:ext cx="1662546" cy="1558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2458BCD-07F2-4205-8582-594F654E8B2F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81183</a:t>
          </a:fld>
          <a:endParaRPr lang="en-US" sz="1200" b="1"/>
        </a:p>
      </xdr:txBody>
    </xdr:sp>
    <xdr:clientData/>
  </xdr:twoCellAnchor>
  <xdr:twoCellAnchor>
    <xdr:from>
      <xdr:col>4</xdr:col>
      <xdr:colOff>168598</xdr:colOff>
      <xdr:row>8</xdr:row>
      <xdr:rowOff>74367</xdr:rowOff>
    </xdr:from>
    <xdr:to>
      <xdr:col>6</xdr:col>
      <xdr:colOff>195288</xdr:colOff>
      <xdr:row>9</xdr:row>
      <xdr:rowOff>102380</xdr:rowOff>
    </xdr:to>
    <xdr:sp macro="" textlink="KPI_Dashboard!A5">
      <xdr:nvSpPr>
        <xdr:cNvPr id="21" name="ZoneTexte 20">
          <a:extLst>
            <a:ext uri="{FF2B5EF4-FFF2-40B4-BE49-F238E27FC236}">
              <a16:creationId xmlns:a16="http://schemas.microsoft.com/office/drawing/2014/main" id="{3E3B1880-492E-449F-B8DE-506BBF4CD2A2}"/>
            </a:ext>
          </a:extLst>
        </xdr:cNvPr>
        <xdr:cNvSpPr txBox="1"/>
      </xdr:nvSpPr>
      <xdr:spPr>
        <a:xfrm>
          <a:off x="3770780" y="1529094"/>
          <a:ext cx="1827781" cy="20985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24362BF-2C41-42E5-86D6-6E9288ABF6D3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5,64</a:t>
          </a:fld>
          <a:endParaRPr lang="en-US" sz="1200" b="1"/>
        </a:p>
      </xdr:txBody>
    </xdr:sp>
    <xdr:clientData/>
  </xdr:twoCellAnchor>
  <xdr:twoCellAnchor>
    <xdr:from>
      <xdr:col>0</xdr:col>
      <xdr:colOff>836841</xdr:colOff>
      <xdr:row>8</xdr:row>
      <xdr:rowOff>31036</xdr:rowOff>
    </xdr:from>
    <xdr:to>
      <xdr:col>2</xdr:col>
      <xdr:colOff>389876</xdr:colOff>
      <xdr:row>9</xdr:row>
      <xdr:rowOff>108855</xdr:rowOff>
    </xdr:to>
    <xdr:sp macro="" textlink="KPI_Dashboard!C5">
      <xdr:nvSpPr>
        <xdr:cNvPr id="22" name="ZoneTexte 21">
          <a:extLst>
            <a:ext uri="{FF2B5EF4-FFF2-40B4-BE49-F238E27FC236}">
              <a16:creationId xmlns:a16="http://schemas.microsoft.com/office/drawing/2014/main" id="{89102E9A-9132-4EB6-939E-4C0231BB0574}"/>
            </a:ext>
          </a:extLst>
        </xdr:cNvPr>
        <xdr:cNvSpPr txBox="1"/>
      </xdr:nvSpPr>
      <xdr:spPr>
        <a:xfrm>
          <a:off x="836841" y="1500607"/>
          <a:ext cx="1349178" cy="26151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D13D18-5FE8-48C4-B154-D3BE44BBBE98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6</a:t>
          </a:fld>
          <a:endParaRPr lang="en-US" sz="1200" b="1"/>
        </a:p>
      </xdr:txBody>
    </xdr:sp>
    <xdr:clientData/>
  </xdr:twoCellAnchor>
  <xdr:twoCellAnchor>
    <xdr:from>
      <xdr:col>0</xdr:col>
      <xdr:colOff>0</xdr:colOff>
      <xdr:row>12</xdr:row>
      <xdr:rowOff>143494</xdr:rowOff>
    </xdr:from>
    <xdr:to>
      <xdr:col>3</xdr:col>
      <xdr:colOff>386858</xdr:colOff>
      <xdr:row>24</xdr:row>
      <xdr:rowOff>102054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756C2C94-6A4B-458B-9AE4-60028DF29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103909</xdr:colOff>
      <xdr:row>28</xdr:row>
      <xdr:rowOff>148225</xdr:rowOff>
    </xdr:from>
    <xdr:to>
      <xdr:col>6</xdr:col>
      <xdr:colOff>406977</xdr:colOff>
      <xdr:row>39</xdr:row>
      <xdr:rowOff>43296</xdr:rowOff>
    </xdr:to>
    <xdr:graphicFrame macro="">
      <xdr:nvGraphicFramePr>
        <xdr:cNvPr id="24" name="Graphique 23">
          <a:extLst>
            <a:ext uri="{FF2B5EF4-FFF2-40B4-BE49-F238E27FC236}">
              <a16:creationId xmlns:a16="http://schemas.microsoft.com/office/drawing/2014/main" id="{4098D38A-729D-4DBF-A18D-09856C931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618509</xdr:colOff>
      <xdr:row>12</xdr:row>
      <xdr:rowOff>129268</xdr:rowOff>
    </xdr:from>
    <xdr:to>
      <xdr:col>6</xdr:col>
      <xdr:colOff>877662</xdr:colOff>
      <xdr:row>24</xdr:row>
      <xdr:rowOff>81643</xdr:rowOff>
    </xdr:to>
    <xdr:graphicFrame macro="">
      <xdr:nvGraphicFramePr>
        <xdr:cNvPr id="26" name="Graphique 25">
          <a:extLst>
            <a:ext uri="{FF2B5EF4-FFF2-40B4-BE49-F238E27FC236}">
              <a16:creationId xmlns:a16="http://schemas.microsoft.com/office/drawing/2014/main" id="{A1E7AE26-6CD1-43AF-B564-DBAB6D119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353059</xdr:colOff>
      <xdr:row>42</xdr:row>
      <xdr:rowOff>43295</xdr:rowOff>
    </xdr:from>
    <xdr:to>
      <xdr:col>6</xdr:col>
      <xdr:colOff>233795</xdr:colOff>
      <xdr:row>54</xdr:row>
      <xdr:rowOff>103909</xdr:rowOff>
    </xdr:to>
    <xdr:graphicFrame macro="">
      <xdr:nvGraphicFramePr>
        <xdr:cNvPr id="27" name="Graphique 26">
          <a:extLst>
            <a:ext uri="{FF2B5EF4-FFF2-40B4-BE49-F238E27FC236}">
              <a16:creationId xmlns:a16="http://schemas.microsoft.com/office/drawing/2014/main" id="{2BF3AA24-301F-4630-BA14-47DC6A2ABA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327771</xdr:colOff>
      <xdr:row>3</xdr:row>
      <xdr:rowOff>1121</xdr:rowOff>
    </xdr:from>
    <xdr:to>
      <xdr:col>8</xdr:col>
      <xdr:colOff>327771</xdr:colOff>
      <xdr:row>18</xdr:row>
      <xdr:rowOff>54909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116E599-66D8-3AA7-E44A-C3A0C8580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269080</xdr:colOff>
      <xdr:row>0</xdr:row>
      <xdr:rowOff>100012</xdr:rowOff>
    </xdr:from>
    <xdr:to>
      <xdr:col>9</xdr:col>
      <xdr:colOff>614362</xdr:colOff>
      <xdr:row>13</xdr:row>
      <xdr:rowOff>176212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FE07451-2C31-D03F-6F8D-ECCC77B95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497680</xdr:colOff>
      <xdr:row>2</xdr:row>
      <xdr:rowOff>66675</xdr:rowOff>
    </xdr:from>
    <xdr:to>
      <xdr:col>9</xdr:col>
      <xdr:colOff>640555</xdr:colOff>
      <xdr:row>17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951C1DB-151C-2EF7-19DC-40AED9B7F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97630</xdr:colOff>
      <xdr:row>1</xdr:row>
      <xdr:rowOff>47625</xdr:rowOff>
    </xdr:from>
    <xdr:to>
      <xdr:col>10</xdr:col>
      <xdr:colOff>97630</xdr:colOff>
      <xdr:row>16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2AF2214-39D2-7FE0-5CBB-2CBB09706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614146</xdr:colOff>
      <xdr:row>1</xdr:row>
      <xdr:rowOff>12987</xdr:rowOff>
    </xdr:from>
    <xdr:to>
      <xdr:col>9</xdr:col>
      <xdr:colOff>321254</xdr:colOff>
      <xdr:row>14</xdr:row>
      <xdr:rowOff>142442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B640F62-1ED5-F3F3-7064-EB6271F8F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onn&#233;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_Dashboard"/>
      <sheetName val="Dashboard"/>
      <sheetName val="Données"/>
      <sheetName val="Filtrage données "/>
      <sheetName val="Analyse_etablissement"/>
      <sheetName val="Analyse_departement"/>
      <sheetName val="Analyse_activites"/>
      <sheetName val="Analyse_duree_sejour"/>
      <sheetName val="Evolution_mensuelle"/>
      <sheetName val="Donnée"/>
    </sheetNames>
    <sheetDataSet>
      <sheetData sheetId="0"/>
      <sheetData sheetId="1"/>
      <sheetData sheetId="2">
        <row r="2">
          <cell r="B2" t="str">
            <v>Clinique Saint-Roch</v>
          </cell>
        </row>
        <row r="3">
          <cell r="B3" t="str">
            <v>Clinique Saint-Roch</v>
          </cell>
        </row>
        <row r="4">
          <cell r="B4" t="str">
            <v>Clinique Saint-Roch</v>
          </cell>
        </row>
        <row r="5">
          <cell r="B5" t="str">
            <v>Clinique Saint-Roch</v>
          </cell>
        </row>
        <row r="6">
          <cell r="B6" t="str">
            <v>Clinique du Parc</v>
          </cell>
        </row>
        <row r="7">
          <cell r="B7" t="str">
            <v>Clinique du Parc</v>
          </cell>
        </row>
        <row r="8">
          <cell r="B8" t="str">
            <v>Clinique du Parc</v>
          </cell>
        </row>
        <row r="9">
          <cell r="B9" t="str">
            <v>Clinique du Parc</v>
          </cell>
        </row>
        <row r="10">
          <cell r="B10" t="str">
            <v>Clinique Toulouse Centre</v>
          </cell>
        </row>
        <row r="11">
          <cell r="B11" t="str">
            <v>Clinique Toulouse Centre</v>
          </cell>
        </row>
        <row r="12">
          <cell r="B12" t="str">
            <v>Clinique Toulouse Centre</v>
          </cell>
        </row>
        <row r="13">
          <cell r="B13" t="str">
            <v>Clinique Toulouse Centre</v>
          </cell>
        </row>
        <row r="14">
          <cell r="B14" t="str">
            <v>Clinique des Cèdres</v>
          </cell>
        </row>
        <row r="15">
          <cell r="B15" t="str">
            <v>Clinique des Cèdres</v>
          </cell>
        </row>
        <row r="16">
          <cell r="B16" t="str">
            <v>Clinique des Cèdres</v>
          </cell>
        </row>
        <row r="17">
          <cell r="B17" t="str">
            <v>Clinique des Cèdres</v>
          </cell>
        </row>
        <row r="18">
          <cell r="B18" t="str">
            <v>Clinique Nîmes Santé</v>
          </cell>
        </row>
        <row r="19">
          <cell r="B19" t="str">
            <v>Clinique Nîmes Santé</v>
          </cell>
        </row>
        <row r="20">
          <cell r="B20" t="str">
            <v>Clinique Nîmes Santé</v>
          </cell>
        </row>
        <row r="21">
          <cell r="B21" t="str">
            <v>Clinique Nîmes Santé</v>
          </cell>
        </row>
        <row r="22">
          <cell r="B22" t="str">
            <v>Clinique Perpignan Sud</v>
          </cell>
        </row>
        <row r="23">
          <cell r="B23" t="str">
            <v>Clinique Perpignan Sud</v>
          </cell>
        </row>
        <row r="24">
          <cell r="B24" t="str">
            <v>Clinique Perpignan Sud</v>
          </cell>
        </row>
        <row r="25">
          <cell r="B25" t="str">
            <v>Clinique Perpignan Sud</v>
          </cell>
        </row>
        <row r="26">
          <cell r="B26" t="str">
            <v>Clinique Saint-Roch</v>
          </cell>
        </row>
        <row r="27">
          <cell r="B27" t="str">
            <v>Clinique Saint-Roch</v>
          </cell>
        </row>
        <row r="28">
          <cell r="B28" t="str">
            <v>Clinique Saint-Roch</v>
          </cell>
        </row>
        <row r="29">
          <cell r="B29" t="str">
            <v>Clinique Saint-Roch</v>
          </cell>
        </row>
        <row r="30">
          <cell r="B30" t="str">
            <v>Clinique du Parc</v>
          </cell>
        </row>
        <row r="31">
          <cell r="B31" t="str">
            <v>Clinique du Parc</v>
          </cell>
        </row>
        <row r="32">
          <cell r="B32" t="str">
            <v>Clinique du Parc</v>
          </cell>
        </row>
        <row r="33">
          <cell r="B33" t="str">
            <v>Clinique du Parc</v>
          </cell>
        </row>
        <row r="34">
          <cell r="B34" t="str">
            <v>Clinique Toulouse Centre</v>
          </cell>
        </row>
        <row r="35">
          <cell r="B35" t="str">
            <v>Clinique Toulouse Centre</v>
          </cell>
        </row>
        <row r="36">
          <cell r="B36" t="str">
            <v>Clinique Toulouse Centre</v>
          </cell>
        </row>
        <row r="37">
          <cell r="B37" t="str">
            <v>Clinique Toulouse Centre</v>
          </cell>
        </row>
        <row r="38">
          <cell r="B38" t="str">
            <v>Clinique des Cèdres</v>
          </cell>
        </row>
        <row r="39">
          <cell r="B39" t="str">
            <v>Clinique des Cèdres</v>
          </cell>
        </row>
        <row r="40">
          <cell r="B40" t="str">
            <v>Clinique des Cèdres</v>
          </cell>
        </row>
        <row r="41">
          <cell r="B41" t="str">
            <v>Clinique des Cèdres</v>
          </cell>
        </row>
        <row r="42">
          <cell r="B42" t="str">
            <v>Clinique Nîmes Santé</v>
          </cell>
        </row>
        <row r="43">
          <cell r="B43" t="str">
            <v>Clinique Nîmes Santé</v>
          </cell>
        </row>
        <row r="44">
          <cell r="B44" t="str">
            <v>Clinique Nîmes Santé</v>
          </cell>
        </row>
        <row r="45">
          <cell r="B45" t="str">
            <v>Clinique Nîmes Santé</v>
          </cell>
        </row>
        <row r="46">
          <cell r="B46" t="str">
            <v>Clinique Perpignan Sud</v>
          </cell>
        </row>
        <row r="47">
          <cell r="B47" t="str">
            <v>Clinique Perpignan Sud</v>
          </cell>
        </row>
        <row r="48">
          <cell r="B48" t="str">
            <v>Clinique Perpignan Sud</v>
          </cell>
        </row>
        <row r="49">
          <cell r="B49" t="str">
            <v>Clinique Perpignan Sud</v>
          </cell>
        </row>
        <row r="50">
          <cell r="B50" t="str">
            <v>Clinique Saint-Roch</v>
          </cell>
        </row>
        <row r="51">
          <cell r="B51" t="str">
            <v>Clinique Saint-Roch</v>
          </cell>
        </row>
        <row r="52">
          <cell r="B52" t="str">
            <v>Clinique Saint-Roch</v>
          </cell>
        </row>
        <row r="53">
          <cell r="B53" t="str">
            <v>Clinique Saint-Roch</v>
          </cell>
        </row>
        <row r="54">
          <cell r="B54" t="str">
            <v>Clinique du Parc</v>
          </cell>
        </row>
        <row r="55">
          <cell r="B55" t="str">
            <v>Clinique du Parc</v>
          </cell>
        </row>
        <row r="56">
          <cell r="B56" t="str">
            <v>Clinique du Parc</v>
          </cell>
        </row>
        <row r="57">
          <cell r="B57" t="str">
            <v>Clinique du Parc</v>
          </cell>
        </row>
        <row r="58">
          <cell r="B58" t="str">
            <v>Clinique Toulouse Centre</v>
          </cell>
        </row>
        <row r="59">
          <cell r="B59" t="str">
            <v>Clinique Toulouse Centre</v>
          </cell>
        </row>
        <row r="60">
          <cell r="B60" t="str">
            <v>Clinique Toulouse Centre</v>
          </cell>
        </row>
        <row r="61">
          <cell r="B61" t="str">
            <v>Clinique Toulouse Centre</v>
          </cell>
        </row>
        <row r="62">
          <cell r="B62" t="str">
            <v>Clinique des Cèdres</v>
          </cell>
        </row>
        <row r="63">
          <cell r="B63" t="str">
            <v>Clinique des Cèdres</v>
          </cell>
        </row>
        <row r="64">
          <cell r="B64" t="str">
            <v>Clinique des Cèdres</v>
          </cell>
        </row>
        <row r="65">
          <cell r="B65" t="str">
            <v>Clinique des Cèdres</v>
          </cell>
        </row>
        <row r="66">
          <cell r="B66" t="str">
            <v>Clinique Nîmes Santé</v>
          </cell>
        </row>
        <row r="67">
          <cell r="B67" t="str">
            <v>Clinique Nîmes Santé</v>
          </cell>
        </row>
        <row r="68">
          <cell r="B68" t="str">
            <v>Clinique Nîmes Santé</v>
          </cell>
        </row>
        <row r="69">
          <cell r="B69" t="str">
            <v>Clinique Nîmes Santé</v>
          </cell>
        </row>
        <row r="70">
          <cell r="B70" t="str">
            <v>Clinique Perpignan Sud</v>
          </cell>
        </row>
        <row r="71">
          <cell r="B71" t="str">
            <v>Clinique Perpignan Sud</v>
          </cell>
        </row>
        <row r="72">
          <cell r="B72" t="str">
            <v>Clinique Perpignan Sud</v>
          </cell>
        </row>
        <row r="73">
          <cell r="B73" t="str">
            <v>Clinique Perpignan Sud</v>
          </cell>
        </row>
        <row r="74">
          <cell r="B74" t="str">
            <v>Clinique Saint-Roch</v>
          </cell>
        </row>
        <row r="75">
          <cell r="B75" t="str">
            <v>Clinique Saint-Roch</v>
          </cell>
        </row>
        <row r="76">
          <cell r="B76" t="str">
            <v>Clinique Saint-Roch</v>
          </cell>
        </row>
        <row r="77">
          <cell r="B77" t="str">
            <v>Clinique Saint-Roch</v>
          </cell>
        </row>
        <row r="78">
          <cell r="B78" t="str">
            <v>Clinique du Parc</v>
          </cell>
        </row>
        <row r="79">
          <cell r="B79" t="str">
            <v>Clinique du Parc</v>
          </cell>
        </row>
        <row r="80">
          <cell r="B80" t="str">
            <v>Clinique du Parc</v>
          </cell>
        </row>
        <row r="81">
          <cell r="B81" t="str">
            <v>Clinique du Parc</v>
          </cell>
        </row>
        <row r="82">
          <cell r="B82" t="str">
            <v>Clinique Toulouse Centre</v>
          </cell>
        </row>
        <row r="83">
          <cell r="B83" t="str">
            <v>Clinique Toulouse Centre</v>
          </cell>
        </row>
        <row r="84">
          <cell r="B84" t="str">
            <v>Clinique Toulouse Centre</v>
          </cell>
        </row>
        <row r="85">
          <cell r="B85" t="str">
            <v>Clinique Toulouse Centre</v>
          </cell>
        </row>
        <row r="86">
          <cell r="B86" t="str">
            <v>Clinique des Cèdres</v>
          </cell>
        </row>
        <row r="87">
          <cell r="B87" t="str">
            <v>Clinique des Cèdres</v>
          </cell>
        </row>
        <row r="88">
          <cell r="B88" t="str">
            <v>Clinique des Cèdres</v>
          </cell>
        </row>
        <row r="89">
          <cell r="B89" t="str">
            <v>Clinique des Cèdres</v>
          </cell>
        </row>
        <row r="90">
          <cell r="B90" t="str">
            <v>Clinique Nîmes Santé</v>
          </cell>
        </row>
        <row r="91">
          <cell r="B91" t="str">
            <v>Clinique Nîmes Santé</v>
          </cell>
        </row>
        <row r="92">
          <cell r="B92" t="str">
            <v>Clinique Nîmes Santé</v>
          </cell>
        </row>
        <row r="93">
          <cell r="B93" t="str">
            <v>Clinique Nîmes Santé</v>
          </cell>
        </row>
        <row r="94">
          <cell r="B94" t="str">
            <v>Clinique Perpignan Sud</v>
          </cell>
        </row>
        <row r="95">
          <cell r="B95" t="str">
            <v>Clinique Perpignan Sud</v>
          </cell>
        </row>
        <row r="96">
          <cell r="B96" t="str">
            <v>Clinique Perpignan Sud</v>
          </cell>
        </row>
        <row r="97">
          <cell r="B97" t="str">
            <v>Clinique Perpignan Sud</v>
          </cell>
        </row>
        <row r="98">
          <cell r="B98" t="str">
            <v>Clinique Saint-Roch</v>
          </cell>
        </row>
        <row r="99">
          <cell r="B99" t="str">
            <v>Clinique Saint-Roch</v>
          </cell>
        </row>
        <row r="100">
          <cell r="B100" t="str">
            <v>Clinique Saint-Roch</v>
          </cell>
        </row>
        <row r="101">
          <cell r="B101" t="str">
            <v>Clinique Saint-Roch</v>
          </cell>
        </row>
        <row r="102">
          <cell r="B102" t="str">
            <v>Clinique du Parc</v>
          </cell>
        </row>
        <row r="103">
          <cell r="B103" t="str">
            <v>Clinique du Parc</v>
          </cell>
        </row>
        <row r="104">
          <cell r="B104" t="str">
            <v>Clinique du Parc</v>
          </cell>
        </row>
        <row r="105">
          <cell r="B105" t="str">
            <v>Clinique du Parc</v>
          </cell>
        </row>
        <row r="106">
          <cell r="B106" t="str">
            <v>Clinique Toulouse Centre</v>
          </cell>
        </row>
        <row r="107">
          <cell r="B107" t="str">
            <v>Clinique Toulouse Centre</v>
          </cell>
        </row>
        <row r="108">
          <cell r="B108" t="str">
            <v>Clinique Toulouse Centre</v>
          </cell>
        </row>
        <row r="109">
          <cell r="B109" t="str">
            <v>Clinique Toulouse Centre</v>
          </cell>
        </row>
        <row r="110">
          <cell r="B110" t="str">
            <v>Clinique des Cèdres</v>
          </cell>
        </row>
        <row r="111">
          <cell r="B111" t="str">
            <v>Clinique des Cèdres</v>
          </cell>
        </row>
        <row r="112">
          <cell r="B112" t="str">
            <v>Clinique des Cèdres</v>
          </cell>
        </row>
        <row r="113">
          <cell r="B113" t="str">
            <v>Clinique des Cèdres</v>
          </cell>
        </row>
        <row r="114">
          <cell r="B114" t="str">
            <v>Clinique Nîmes Santé</v>
          </cell>
        </row>
        <row r="115">
          <cell r="B115" t="str">
            <v>Clinique Nîmes Santé</v>
          </cell>
        </row>
        <row r="116">
          <cell r="B116" t="str">
            <v>Clinique Nîmes Santé</v>
          </cell>
        </row>
        <row r="117">
          <cell r="B117" t="str">
            <v>Clinique Nîmes Santé</v>
          </cell>
        </row>
        <row r="118">
          <cell r="B118" t="str">
            <v>Clinique Perpignan Sud</v>
          </cell>
        </row>
        <row r="119">
          <cell r="B119" t="str">
            <v>Clinique Perpignan Sud</v>
          </cell>
        </row>
        <row r="120">
          <cell r="B120" t="str">
            <v>Clinique Perpignan Sud</v>
          </cell>
        </row>
        <row r="121">
          <cell r="B121" t="str">
            <v>Clinique Perpignan Sud</v>
          </cell>
        </row>
        <row r="122">
          <cell r="B122" t="str">
            <v>Clinique Saint-Roch</v>
          </cell>
        </row>
        <row r="123">
          <cell r="B123" t="str">
            <v>Clinique Saint-Roch</v>
          </cell>
        </row>
        <row r="124">
          <cell r="B124" t="str">
            <v>Clinique Saint-Roch</v>
          </cell>
        </row>
        <row r="125">
          <cell r="B125" t="str">
            <v>Clinique Saint-Roch</v>
          </cell>
        </row>
        <row r="126">
          <cell r="B126" t="str">
            <v>Clinique du Parc</v>
          </cell>
        </row>
        <row r="127">
          <cell r="B127" t="str">
            <v>Clinique du Parc</v>
          </cell>
        </row>
        <row r="128">
          <cell r="B128" t="str">
            <v>Clinique du Parc</v>
          </cell>
        </row>
        <row r="129">
          <cell r="B129" t="str">
            <v>Clinique du Parc</v>
          </cell>
        </row>
        <row r="130">
          <cell r="B130" t="str">
            <v>Clinique Toulouse Centre</v>
          </cell>
        </row>
        <row r="131">
          <cell r="B131" t="str">
            <v>Clinique Toulouse Centre</v>
          </cell>
        </row>
        <row r="132">
          <cell r="B132" t="str">
            <v>Clinique Toulouse Centre</v>
          </cell>
        </row>
        <row r="133">
          <cell r="B133" t="str">
            <v>Clinique Toulouse Centre</v>
          </cell>
        </row>
        <row r="134">
          <cell r="B134" t="str">
            <v>Clinique des Cèdres</v>
          </cell>
        </row>
        <row r="135">
          <cell r="B135" t="str">
            <v>Clinique des Cèdres</v>
          </cell>
        </row>
        <row r="136">
          <cell r="B136" t="str">
            <v>Clinique des Cèdres</v>
          </cell>
        </row>
        <row r="137">
          <cell r="B137" t="str">
            <v>Clinique des Cèdres</v>
          </cell>
        </row>
        <row r="138">
          <cell r="B138" t="str">
            <v>Clinique Nîmes Santé</v>
          </cell>
        </row>
        <row r="139">
          <cell r="B139" t="str">
            <v>Clinique Nîmes Santé</v>
          </cell>
        </row>
        <row r="140">
          <cell r="B140" t="str">
            <v>Clinique Nîmes Santé</v>
          </cell>
        </row>
        <row r="141">
          <cell r="B141" t="str">
            <v>Clinique Nîmes Santé</v>
          </cell>
        </row>
        <row r="142">
          <cell r="B142" t="str">
            <v>Clinique Perpignan Sud</v>
          </cell>
        </row>
        <row r="143">
          <cell r="B143" t="str">
            <v>Clinique Perpignan Sud</v>
          </cell>
        </row>
        <row r="144">
          <cell r="B144" t="str">
            <v>Clinique Perpignan Sud</v>
          </cell>
        </row>
        <row r="145">
          <cell r="B145" t="str">
            <v>Clinique Perpignan Sud</v>
          </cell>
        </row>
        <row r="146">
          <cell r="B146" t="str">
            <v>Clinique Saint-Roch</v>
          </cell>
        </row>
        <row r="147">
          <cell r="B147" t="str">
            <v>Clinique Saint-Roch</v>
          </cell>
        </row>
        <row r="148">
          <cell r="B148" t="str">
            <v>Clinique Saint-Roch</v>
          </cell>
        </row>
        <row r="149">
          <cell r="B149" t="str">
            <v>Clinique Saint-Roch</v>
          </cell>
        </row>
        <row r="150">
          <cell r="B150" t="str">
            <v>Clinique du Parc</v>
          </cell>
        </row>
        <row r="151">
          <cell r="B151" t="str">
            <v>Clinique du Parc</v>
          </cell>
        </row>
        <row r="152">
          <cell r="B152" t="str">
            <v>Clinique du Parc</v>
          </cell>
        </row>
        <row r="153">
          <cell r="B153" t="str">
            <v>Clinique du Parc</v>
          </cell>
        </row>
        <row r="154">
          <cell r="B154" t="str">
            <v>Clinique Toulouse Centre</v>
          </cell>
        </row>
        <row r="155">
          <cell r="B155" t="str">
            <v>Clinique Toulouse Centre</v>
          </cell>
        </row>
        <row r="156">
          <cell r="B156" t="str">
            <v>Clinique Toulouse Centre</v>
          </cell>
        </row>
        <row r="157">
          <cell r="B157" t="str">
            <v>Clinique Toulouse Centre</v>
          </cell>
        </row>
        <row r="158">
          <cell r="B158" t="str">
            <v>Clinique des Cèdres</v>
          </cell>
        </row>
        <row r="159">
          <cell r="B159" t="str">
            <v>Clinique des Cèdres</v>
          </cell>
        </row>
        <row r="160">
          <cell r="B160" t="str">
            <v>Clinique des Cèdres</v>
          </cell>
        </row>
        <row r="161">
          <cell r="B161" t="str">
            <v>Clinique des Cèdres</v>
          </cell>
        </row>
        <row r="162">
          <cell r="B162" t="str">
            <v>Clinique Nîmes Santé</v>
          </cell>
        </row>
        <row r="163">
          <cell r="B163" t="str">
            <v>Clinique Nîmes Santé</v>
          </cell>
        </row>
        <row r="164">
          <cell r="B164" t="str">
            <v>Clinique Nîmes Santé</v>
          </cell>
        </row>
        <row r="165">
          <cell r="B165" t="str">
            <v>Clinique Nîmes Santé</v>
          </cell>
        </row>
        <row r="166">
          <cell r="B166" t="str">
            <v>Clinique Perpignan Sud</v>
          </cell>
        </row>
        <row r="167">
          <cell r="B167" t="str">
            <v>Clinique Perpignan Sud</v>
          </cell>
        </row>
        <row r="168">
          <cell r="B168" t="str">
            <v>Clinique Perpignan Sud</v>
          </cell>
        </row>
        <row r="169">
          <cell r="B169" t="str">
            <v>Clinique Perpignan Sud</v>
          </cell>
        </row>
        <row r="170">
          <cell r="B170" t="str">
            <v>Clinique Saint-Roch</v>
          </cell>
        </row>
        <row r="171">
          <cell r="B171" t="str">
            <v>Clinique Saint-Roch</v>
          </cell>
        </row>
        <row r="172">
          <cell r="B172" t="str">
            <v>Clinique Saint-Roch</v>
          </cell>
        </row>
        <row r="173">
          <cell r="B173" t="str">
            <v>Clinique Saint-Roch</v>
          </cell>
        </row>
        <row r="174">
          <cell r="B174" t="str">
            <v>Clinique du Parc</v>
          </cell>
        </row>
        <row r="175">
          <cell r="B175" t="str">
            <v>Clinique du Parc</v>
          </cell>
        </row>
        <row r="176">
          <cell r="B176" t="str">
            <v>Clinique du Parc</v>
          </cell>
        </row>
        <row r="177">
          <cell r="B177" t="str">
            <v>Clinique du Parc</v>
          </cell>
        </row>
        <row r="178">
          <cell r="B178" t="str">
            <v>Clinique Toulouse Centre</v>
          </cell>
        </row>
        <row r="179">
          <cell r="B179" t="str">
            <v>Clinique Toulouse Centre</v>
          </cell>
        </row>
        <row r="180">
          <cell r="B180" t="str">
            <v>Clinique Toulouse Centre</v>
          </cell>
        </row>
        <row r="181">
          <cell r="B181" t="str">
            <v>Clinique Toulouse Centre</v>
          </cell>
        </row>
        <row r="182">
          <cell r="B182" t="str">
            <v>Clinique des Cèdres</v>
          </cell>
        </row>
        <row r="183">
          <cell r="B183" t="str">
            <v>Clinique des Cèdres</v>
          </cell>
        </row>
        <row r="184">
          <cell r="B184" t="str">
            <v>Clinique des Cèdres</v>
          </cell>
        </row>
        <row r="185">
          <cell r="B185" t="str">
            <v>Clinique des Cèdres</v>
          </cell>
        </row>
        <row r="186">
          <cell r="B186" t="str">
            <v>Clinique Nîmes Santé</v>
          </cell>
        </row>
        <row r="187">
          <cell r="B187" t="str">
            <v>Clinique Nîmes Santé</v>
          </cell>
        </row>
        <row r="188">
          <cell r="B188" t="str">
            <v>Clinique Nîmes Santé</v>
          </cell>
        </row>
        <row r="189">
          <cell r="B189" t="str">
            <v>Clinique Nîmes Santé</v>
          </cell>
        </row>
        <row r="190">
          <cell r="B190" t="str">
            <v>Clinique Perpignan Sud</v>
          </cell>
        </row>
        <row r="191">
          <cell r="B191" t="str">
            <v>Clinique Perpignan Sud</v>
          </cell>
        </row>
        <row r="192">
          <cell r="B192" t="str">
            <v>Clinique Perpignan Sud</v>
          </cell>
        </row>
        <row r="193">
          <cell r="B193" t="str">
            <v>Clinique Perpignan Sud</v>
          </cell>
        </row>
        <row r="194">
          <cell r="B194" t="str">
            <v>Clinique Saint-Roch</v>
          </cell>
        </row>
        <row r="195">
          <cell r="B195" t="str">
            <v>Clinique Saint-Roch</v>
          </cell>
        </row>
        <row r="196">
          <cell r="B196" t="str">
            <v>Clinique Saint-Roch</v>
          </cell>
        </row>
        <row r="197">
          <cell r="B197" t="str">
            <v>Clinique Saint-Roch</v>
          </cell>
        </row>
        <row r="198">
          <cell r="B198" t="str">
            <v>Clinique du Parc</v>
          </cell>
        </row>
        <row r="199">
          <cell r="B199" t="str">
            <v>Clinique du Parc</v>
          </cell>
        </row>
        <row r="200">
          <cell r="B200" t="str">
            <v>Clinique du Parc</v>
          </cell>
        </row>
        <row r="201">
          <cell r="B201" t="str">
            <v>Clinique du Parc</v>
          </cell>
        </row>
        <row r="202">
          <cell r="B202" t="str">
            <v>Clinique Toulouse Centre</v>
          </cell>
        </row>
        <row r="203">
          <cell r="B203" t="str">
            <v>Clinique Toulouse Centre</v>
          </cell>
        </row>
        <row r="204">
          <cell r="B204" t="str">
            <v>Clinique Toulouse Centre</v>
          </cell>
        </row>
        <row r="205">
          <cell r="B205" t="str">
            <v>Clinique Toulouse Centre</v>
          </cell>
        </row>
        <row r="206">
          <cell r="B206" t="str">
            <v>Clinique des Cèdres</v>
          </cell>
        </row>
        <row r="207">
          <cell r="B207" t="str">
            <v>Clinique des Cèdres</v>
          </cell>
        </row>
        <row r="208">
          <cell r="B208" t="str">
            <v>Clinique des Cèdres</v>
          </cell>
        </row>
        <row r="209">
          <cell r="B209" t="str">
            <v>Clinique des Cèdres</v>
          </cell>
        </row>
        <row r="210">
          <cell r="B210" t="str">
            <v>Clinique Nîmes Santé</v>
          </cell>
        </row>
        <row r="211">
          <cell r="B211" t="str">
            <v>Clinique Nîmes Santé</v>
          </cell>
        </row>
        <row r="212">
          <cell r="B212" t="str">
            <v>Clinique Nîmes Santé</v>
          </cell>
        </row>
        <row r="213">
          <cell r="B213" t="str">
            <v>Clinique Nîmes Santé</v>
          </cell>
        </row>
        <row r="214">
          <cell r="B214" t="str">
            <v>Clinique Perpignan Sud</v>
          </cell>
        </row>
        <row r="215">
          <cell r="B215" t="str">
            <v>Clinique Perpignan Sud</v>
          </cell>
        </row>
        <row r="216">
          <cell r="B216" t="str">
            <v>Clinique Perpignan Sud</v>
          </cell>
        </row>
        <row r="217">
          <cell r="B217" t="str">
            <v>Clinique Perpignan Sud</v>
          </cell>
        </row>
        <row r="218">
          <cell r="B218" t="str">
            <v>Clinique Saint-Roch</v>
          </cell>
        </row>
        <row r="219">
          <cell r="B219" t="str">
            <v>Clinique Saint-Roch</v>
          </cell>
        </row>
        <row r="220">
          <cell r="B220" t="str">
            <v>Clinique Saint-Roch</v>
          </cell>
        </row>
        <row r="221">
          <cell r="B221" t="str">
            <v>Clinique Saint-Roch</v>
          </cell>
        </row>
        <row r="222">
          <cell r="B222" t="str">
            <v>Clinique du Parc</v>
          </cell>
        </row>
        <row r="223">
          <cell r="B223" t="str">
            <v>Clinique du Parc</v>
          </cell>
        </row>
        <row r="224">
          <cell r="B224" t="str">
            <v>Clinique du Parc</v>
          </cell>
        </row>
        <row r="225">
          <cell r="B225" t="str">
            <v>Clinique du Parc</v>
          </cell>
        </row>
        <row r="226">
          <cell r="B226" t="str">
            <v>Clinique Toulouse Centre</v>
          </cell>
        </row>
        <row r="227">
          <cell r="B227" t="str">
            <v>Clinique Toulouse Centre</v>
          </cell>
        </row>
        <row r="228">
          <cell r="B228" t="str">
            <v>Clinique Toulouse Centre</v>
          </cell>
        </row>
        <row r="229">
          <cell r="B229" t="str">
            <v>Clinique Toulouse Centre</v>
          </cell>
        </row>
        <row r="230">
          <cell r="B230" t="str">
            <v>Clinique des Cèdres</v>
          </cell>
        </row>
        <row r="231">
          <cell r="B231" t="str">
            <v>Clinique des Cèdres</v>
          </cell>
        </row>
        <row r="232">
          <cell r="B232" t="str">
            <v>Clinique des Cèdres</v>
          </cell>
        </row>
        <row r="233">
          <cell r="B233" t="str">
            <v>Clinique des Cèdres</v>
          </cell>
        </row>
        <row r="234">
          <cell r="B234" t="str">
            <v>Clinique Nîmes Santé</v>
          </cell>
        </row>
        <row r="235">
          <cell r="B235" t="str">
            <v>Clinique Nîmes Santé</v>
          </cell>
        </row>
        <row r="236">
          <cell r="B236" t="str">
            <v>Clinique Nîmes Santé</v>
          </cell>
        </row>
        <row r="237">
          <cell r="B237" t="str">
            <v>Clinique Nîmes Santé</v>
          </cell>
        </row>
        <row r="238">
          <cell r="B238" t="str">
            <v>Clinique Perpignan Sud</v>
          </cell>
        </row>
        <row r="239">
          <cell r="B239" t="str">
            <v>Clinique Perpignan Sud</v>
          </cell>
        </row>
        <row r="240">
          <cell r="B240" t="str">
            <v>Clinique Perpignan Sud</v>
          </cell>
        </row>
        <row r="241">
          <cell r="B241" t="str">
            <v>Clinique Perpignan Sud</v>
          </cell>
        </row>
        <row r="242">
          <cell r="B242" t="str">
            <v>Clinique Saint-Roch</v>
          </cell>
        </row>
        <row r="243">
          <cell r="B243" t="str">
            <v>Clinique Saint-Roch</v>
          </cell>
        </row>
        <row r="244">
          <cell r="B244" t="str">
            <v>Clinique Saint-Roch</v>
          </cell>
        </row>
        <row r="245">
          <cell r="B245" t="str">
            <v>Clinique Saint-Roch</v>
          </cell>
        </row>
        <row r="246">
          <cell r="B246" t="str">
            <v>Clinique du Parc</v>
          </cell>
        </row>
        <row r="247">
          <cell r="B247" t="str">
            <v>Clinique du Parc</v>
          </cell>
        </row>
        <row r="248">
          <cell r="B248" t="str">
            <v>Clinique du Parc</v>
          </cell>
        </row>
        <row r="249">
          <cell r="B249" t="str">
            <v>Clinique du Parc</v>
          </cell>
        </row>
        <row r="250">
          <cell r="B250" t="str">
            <v>Clinique Toulouse Centre</v>
          </cell>
        </row>
        <row r="251">
          <cell r="B251" t="str">
            <v>Clinique Toulouse Centre</v>
          </cell>
        </row>
        <row r="252">
          <cell r="B252" t="str">
            <v>Clinique Toulouse Centre</v>
          </cell>
        </row>
        <row r="253">
          <cell r="B253" t="str">
            <v>Clinique Toulouse Centre</v>
          </cell>
        </row>
        <row r="254">
          <cell r="B254" t="str">
            <v>Clinique des Cèdres</v>
          </cell>
        </row>
        <row r="255">
          <cell r="B255" t="str">
            <v>Clinique des Cèdres</v>
          </cell>
        </row>
        <row r="256">
          <cell r="B256" t="str">
            <v>Clinique des Cèdres</v>
          </cell>
        </row>
        <row r="257">
          <cell r="B257" t="str">
            <v>Clinique des Cèdres</v>
          </cell>
        </row>
        <row r="258">
          <cell r="B258" t="str">
            <v>Clinique Nîmes Santé</v>
          </cell>
        </row>
        <row r="259">
          <cell r="B259" t="str">
            <v>Clinique Nîmes Santé</v>
          </cell>
        </row>
        <row r="260">
          <cell r="B260" t="str">
            <v>Clinique Nîmes Santé</v>
          </cell>
        </row>
        <row r="261">
          <cell r="B261" t="str">
            <v>Clinique Nîmes Santé</v>
          </cell>
        </row>
        <row r="262">
          <cell r="B262" t="str">
            <v>Clinique Perpignan Sud</v>
          </cell>
        </row>
        <row r="263">
          <cell r="B263" t="str">
            <v>Clinique Perpignan Sud</v>
          </cell>
        </row>
        <row r="264">
          <cell r="B264" t="str">
            <v>Clinique Perpignan Sud</v>
          </cell>
        </row>
        <row r="265">
          <cell r="B265" t="str">
            <v>Clinique Perpignan Sud</v>
          </cell>
        </row>
        <row r="266">
          <cell r="B266" t="str">
            <v>Clinique Saint-Roch</v>
          </cell>
        </row>
        <row r="267">
          <cell r="B267" t="str">
            <v>Clinique Saint-Roch</v>
          </cell>
        </row>
        <row r="268">
          <cell r="B268" t="str">
            <v>Clinique Saint-Roch</v>
          </cell>
        </row>
        <row r="269">
          <cell r="B269" t="str">
            <v>Clinique Saint-Roch</v>
          </cell>
        </row>
        <row r="270">
          <cell r="B270" t="str">
            <v>Clinique du Parc</v>
          </cell>
        </row>
        <row r="271">
          <cell r="B271" t="str">
            <v>Clinique du Parc</v>
          </cell>
        </row>
        <row r="272">
          <cell r="B272" t="str">
            <v>Clinique du Parc</v>
          </cell>
        </row>
        <row r="273">
          <cell r="B273" t="str">
            <v>Clinique du Parc</v>
          </cell>
        </row>
        <row r="274">
          <cell r="B274" t="str">
            <v>Clinique Toulouse Centre</v>
          </cell>
        </row>
        <row r="275">
          <cell r="B275" t="str">
            <v>Clinique Toulouse Centre</v>
          </cell>
        </row>
        <row r="276">
          <cell r="B276" t="str">
            <v>Clinique Toulouse Centre</v>
          </cell>
        </row>
        <row r="277">
          <cell r="B277" t="str">
            <v>Clinique Toulouse Centre</v>
          </cell>
        </row>
        <row r="278">
          <cell r="B278" t="str">
            <v>Clinique des Cèdres</v>
          </cell>
        </row>
        <row r="279">
          <cell r="B279" t="str">
            <v>Clinique des Cèdres</v>
          </cell>
        </row>
        <row r="280">
          <cell r="B280" t="str">
            <v>Clinique des Cèdres</v>
          </cell>
        </row>
        <row r="281">
          <cell r="B281" t="str">
            <v>Clinique des Cèdres</v>
          </cell>
        </row>
        <row r="282">
          <cell r="B282" t="str">
            <v>Clinique Nîmes Santé</v>
          </cell>
        </row>
        <row r="283">
          <cell r="B283" t="str">
            <v>Clinique Nîmes Santé</v>
          </cell>
        </row>
        <row r="284">
          <cell r="B284" t="str">
            <v>Clinique Nîmes Santé</v>
          </cell>
        </row>
        <row r="285">
          <cell r="B285" t="str">
            <v>Clinique Nîmes Santé</v>
          </cell>
        </row>
        <row r="286">
          <cell r="B286" t="str">
            <v>Clinique Perpignan Sud</v>
          </cell>
        </row>
        <row r="287">
          <cell r="B287" t="str">
            <v>Clinique Perpignan Sud</v>
          </cell>
        </row>
        <row r="288">
          <cell r="B288" t="str">
            <v>Clinique Perpignan Sud</v>
          </cell>
        </row>
        <row r="289">
          <cell r="B289" t="str">
            <v>Clinique Perpignan Sud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.ods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Data.ods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24.87763101852" createdVersion="8" refreshedVersion="8" minRefreshableVersion="3" recordCount="288" xr:uid="{7414143E-5262-44B2-AF02-67EBD15F1EEE}">
  <cacheSource type="worksheet">
    <worksheetSource ref="A1:J289" sheet="Données" r:id="rId2"/>
  </cacheSource>
  <cacheFields count="10">
    <cacheField name="ID" numFmtId="0">
      <sharedItems containsSemiMixedTypes="0" containsString="0" containsNumber="1" containsInteger="1" minValue="1" maxValue="288"/>
    </cacheField>
    <cacheField name="Établissement" numFmtId="0">
      <sharedItems count="6">
        <s v="Clinique Saint-Roch"/>
        <s v="Clinique du Parc"/>
        <s v="Clinique Toulouse Centre"/>
        <s v="Clinique des Cèdres"/>
        <s v="Clinique Nîmes Santé"/>
        <s v="Clinique Perpignan Sud"/>
      </sharedItems>
    </cacheField>
    <cacheField name="Département" numFmtId="0">
      <sharedItems/>
    </cacheField>
    <cacheField name="Année" numFmtId="0">
      <sharedItems containsSemiMixedTypes="0" containsString="0" containsNumber="1" containsInteger="1" minValue="2025" maxValue="2026"/>
    </cacheField>
    <cacheField name="Mois" numFmtId="0">
      <sharedItems containsSemiMixedTypes="0" containsString="0" containsNumber="1" containsInteger="1" minValue="1" maxValue="6"/>
    </cacheField>
    <cacheField name="Activité" numFmtId="0">
      <sharedItems/>
    </cacheField>
    <cacheField name="Nombre de patients" numFmtId="0">
      <sharedItems containsSemiMixedTypes="0" containsString="0" containsNumber="1" containsInteger="1" minValue="80" maxValue="650"/>
    </cacheField>
    <cacheField name="Nombre de séjours" numFmtId="0">
      <sharedItems containsSemiMixedTypes="0" containsString="0" containsNumber="1" containsInteger="1" minValue="47" maxValue="613"/>
    </cacheField>
    <cacheField name="Durée moyenne (jours)" numFmtId="0">
      <sharedItems containsSemiMixedTypes="0" containsString="0" containsNumber="1" minValue="1.5" maxValue="9.5"/>
    </cacheField>
    <cacheField name="Niveau d’activité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24.955684606481" createdVersion="8" refreshedVersion="8" minRefreshableVersion="3" recordCount="288" xr:uid="{8C7EC781-F245-47D2-9025-A764939F3F50}">
  <cacheSource type="worksheet">
    <worksheetSource ref="A1:I289" sheet="Données" r:id="rId2"/>
  </cacheSource>
  <cacheFields count="9">
    <cacheField name="ID" numFmtId="0">
      <sharedItems containsSemiMixedTypes="0" containsString="0" containsNumber="1" containsInteger="1" minValue="1" maxValue="288"/>
    </cacheField>
    <cacheField name="Établissement" numFmtId="0">
      <sharedItems count="6">
        <s v="Clinique Saint-Roch"/>
        <s v="Clinique du Parc"/>
        <s v="Clinique Toulouse Centre"/>
        <s v="Clinique des Cèdres"/>
        <s v="Clinique Nîmes Santé"/>
        <s v="Clinique Perpignan Sud"/>
      </sharedItems>
    </cacheField>
    <cacheField name="Département" numFmtId="0">
      <sharedItems count="4">
        <s v="34"/>
        <s v="31"/>
        <s v="30"/>
        <s v="66"/>
      </sharedItems>
    </cacheField>
    <cacheField name="Année" numFmtId="0">
      <sharedItems containsSemiMixedTypes="0" containsString="0" containsNumber="1" containsInteger="1" minValue="2025" maxValue="2026" count="2">
        <n v="2025"/>
        <n v="2026"/>
      </sharedItems>
    </cacheField>
    <cacheField name="Mois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Activité" numFmtId="0">
      <sharedItems count="4">
        <s v="Médecine"/>
        <s v="Chirurgie"/>
        <s v="Maternité"/>
        <s v="Soins de réadaptation"/>
      </sharedItems>
    </cacheField>
    <cacheField name="Nombre de patients" numFmtId="0">
      <sharedItems containsSemiMixedTypes="0" containsString="0" containsNumber="1" containsInteger="1" minValue="80" maxValue="650"/>
    </cacheField>
    <cacheField name="Nombre de séjours" numFmtId="0">
      <sharedItems containsSemiMixedTypes="0" containsString="0" containsNumber="1" containsInteger="1" minValue="47" maxValue="613"/>
    </cacheField>
    <cacheField name="Durée moyenne (jours)" numFmtId="0">
      <sharedItems containsSemiMixedTypes="0" containsString="0" containsNumber="1" minValue="1.5" maxValue="9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n v="1"/>
    <x v="0"/>
    <s v="34"/>
    <n v="2025"/>
    <n v="1"/>
    <s v="Médecine"/>
    <n v="194"/>
    <n v="100"/>
    <n v="7.4"/>
    <s v="Activité normale"/>
  </r>
  <r>
    <n v="2"/>
    <x v="0"/>
    <s v="34"/>
    <n v="2025"/>
    <n v="1"/>
    <s v="Chirurgie"/>
    <n v="330"/>
    <n v="222"/>
    <n v="2.6"/>
    <s v="Activité normale"/>
  </r>
  <r>
    <n v="3"/>
    <x v="0"/>
    <s v="34"/>
    <n v="2025"/>
    <n v="1"/>
    <s v="Maternité"/>
    <n v="184"/>
    <n v="178"/>
    <n v="7.4"/>
    <s v="Activité normale"/>
  </r>
  <r>
    <n v="4"/>
    <x v="0"/>
    <s v="34"/>
    <n v="2025"/>
    <n v="1"/>
    <s v="Soins de réadaptation"/>
    <n v="638"/>
    <n v="363"/>
    <n v="6.2"/>
    <s v="Activité élevée"/>
  </r>
  <r>
    <n v="5"/>
    <x v="1"/>
    <s v="34"/>
    <n v="2025"/>
    <n v="1"/>
    <s v="Médecine"/>
    <n v="112"/>
    <n v="57"/>
    <n v="2.2000000000000002"/>
    <s v="Activité normale"/>
  </r>
  <r>
    <n v="6"/>
    <x v="1"/>
    <s v="34"/>
    <n v="2025"/>
    <n v="1"/>
    <s v="Chirurgie"/>
    <n v="318"/>
    <n v="288"/>
    <n v="6.3"/>
    <s v="Activité normale"/>
  </r>
  <r>
    <n v="7"/>
    <x v="1"/>
    <s v="34"/>
    <n v="2025"/>
    <n v="1"/>
    <s v="Maternité"/>
    <n v="283"/>
    <n v="280"/>
    <n v="4.9000000000000004"/>
    <s v="Activité normale"/>
  </r>
  <r>
    <n v="8"/>
    <x v="1"/>
    <s v="34"/>
    <n v="2025"/>
    <n v="1"/>
    <s v="Soins de réadaptation"/>
    <n v="539"/>
    <n v="411"/>
    <n v="8"/>
    <s v="Activité élevée"/>
  </r>
  <r>
    <n v="9"/>
    <x v="2"/>
    <s v="31"/>
    <n v="2025"/>
    <n v="1"/>
    <s v="Médecine"/>
    <n v="86"/>
    <n v="53"/>
    <n v="7.1"/>
    <s v="Activité normale"/>
  </r>
  <r>
    <n v="10"/>
    <x v="2"/>
    <s v="31"/>
    <n v="2025"/>
    <n v="1"/>
    <s v="Chirurgie"/>
    <n v="428"/>
    <n v="285"/>
    <n v="2.7"/>
    <s v="Activité normale"/>
  </r>
  <r>
    <n v="11"/>
    <x v="2"/>
    <s v="31"/>
    <n v="2025"/>
    <n v="1"/>
    <s v="Maternité"/>
    <n v="424"/>
    <n v="238"/>
    <n v="2.2000000000000002"/>
    <s v="Activité normale"/>
  </r>
  <r>
    <n v="12"/>
    <x v="2"/>
    <s v="31"/>
    <n v="2025"/>
    <n v="1"/>
    <s v="Soins de réadaptation"/>
    <n v="179"/>
    <n v="134"/>
    <n v="8.3000000000000007"/>
    <s v="Activité normale"/>
  </r>
  <r>
    <n v="13"/>
    <x v="3"/>
    <s v="31"/>
    <n v="2025"/>
    <n v="1"/>
    <s v="Médecine"/>
    <n v="350"/>
    <n v="186"/>
    <n v="7.3"/>
    <s v="Activité normale"/>
  </r>
  <r>
    <n v="14"/>
    <x v="3"/>
    <s v="31"/>
    <n v="2025"/>
    <n v="1"/>
    <s v="Chirurgie"/>
    <n v="629"/>
    <n v="377"/>
    <n v="9.3000000000000007"/>
    <s v="Activité élevée"/>
  </r>
  <r>
    <n v="15"/>
    <x v="3"/>
    <s v="31"/>
    <n v="2025"/>
    <n v="1"/>
    <s v="Maternité"/>
    <n v="467"/>
    <n v="253"/>
    <n v="5.9"/>
    <s v="Activité normale"/>
  </r>
  <r>
    <n v="16"/>
    <x v="3"/>
    <s v="31"/>
    <n v="2025"/>
    <n v="1"/>
    <s v="Soins de réadaptation"/>
    <n v="450"/>
    <n v="372"/>
    <n v="3"/>
    <s v="Activité normale"/>
  </r>
  <r>
    <n v="17"/>
    <x v="4"/>
    <s v="30"/>
    <n v="2025"/>
    <n v="1"/>
    <s v="Médecine"/>
    <n v="151"/>
    <n v="80"/>
    <n v="6.8"/>
    <s v="Activité normale"/>
  </r>
  <r>
    <n v="18"/>
    <x v="4"/>
    <s v="30"/>
    <n v="2025"/>
    <n v="1"/>
    <s v="Chirurgie"/>
    <n v="376"/>
    <n v="208"/>
    <n v="8.3000000000000007"/>
    <s v="Activité normale"/>
  </r>
  <r>
    <n v="19"/>
    <x v="4"/>
    <s v="30"/>
    <n v="2025"/>
    <n v="1"/>
    <s v="Maternité"/>
    <n v="183"/>
    <n v="139"/>
    <n v="3.7"/>
    <s v="Activité normale"/>
  </r>
  <r>
    <n v="20"/>
    <x v="4"/>
    <s v="30"/>
    <n v="2025"/>
    <n v="1"/>
    <s v="Soins de réadaptation"/>
    <n v="453"/>
    <n v="267"/>
    <n v="4.5"/>
    <s v="Activité normale"/>
  </r>
  <r>
    <n v="21"/>
    <x v="5"/>
    <s v="66"/>
    <n v="2025"/>
    <n v="1"/>
    <s v="Médecine"/>
    <n v="294"/>
    <n v="215"/>
    <n v="7.1"/>
    <s v="Activité normale"/>
  </r>
  <r>
    <n v="22"/>
    <x v="5"/>
    <s v="66"/>
    <n v="2025"/>
    <n v="1"/>
    <s v="Chirurgie"/>
    <n v="153"/>
    <n v="153"/>
    <n v="6.6"/>
    <s v="Activité normale"/>
  </r>
  <r>
    <n v="23"/>
    <x v="5"/>
    <s v="66"/>
    <n v="2025"/>
    <n v="1"/>
    <s v="Maternité"/>
    <n v="626"/>
    <n v="438"/>
    <n v="2.8"/>
    <s v="Activité élevée"/>
  </r>
  <r>
    <n v="24"/>
    <x v="5"/>
    <s v="66"/>
    <n v="2025"/>
    <n v="1"/>
    <s v="Soins de réadaptation"/>
    <n v="468"/>
    <n v="303"/>
    <n v="9.4"/>
    <s v="Activité normale"/>
  </r>
  <r>
    <n v="25"/>
    <x v="0"/>
    <s v="34"/>
    <n v="2025"/>
    <n v="2"/>
    <s v="Médecine"/>
    <n v="650"/>
    <n v="437"/>
    <n v="7"/>
    <s v="Activité élevée"/>
  </r>
  <r>
    <n v="26"/>
    <x v="0"/>
    <s v="34"/>
    <n v="2025"/>
    <n v="2"/>
    <s v="Chirurgie"/>
    <n v="137"/>
    <n v="97"/>
    <n v="8.1"/>
    <s v="Activité normale"/>
  </r>
  <r>
    <n v="27"/>
    <x v="0"/>
    <s v="34"/>
    <n v="2025"/>
    <n v="2"/>
    <s v="Maternité"/>
    <n v="403"/>
    <n v="303"/>
    <n v="3.6"/>
    <s v="Activité normale"/>
  </r>
  <r>
    <n v="28"/>
    <x v="0"/>
    <s v="34"/>
    <n v="2025"/>
    <n v="2"/>
    <s v="Soins de réadaptation"/>
    <n v="296"/>
    <n v="293"/>
    <n v="8.5"/>
    <s v="Activité normale"/>
  </r>
  <r>
    <n v="29"/>
    <x v="1"/>
    <s v="34"/>
    <n v="2025"/>
    <n v="2"/>
    <s v="Médecine"/>
    <n v="402"/>
    <n v="255"/>
    <n v="6.7"/>
    <s v="Activité normale"/>
  </r>
  <r>
    <n v="30"/>
    <x v="1"/>
    <s v="34"/>
    <n v="2025"/>
    <n v="2"/>
    <s v="Chirurgie"/>
    <n v="485"/>
    <n v="468"/>
    <n v="8.8000000000000007"/>
    <s v="Activité normale"/>
  </r>
  <r>
    <n v="31"/>
    <x v="1"/>
    <s v="34"/>
    <n v="2025"/>
    <n v="2"/>
    <s v="Maternité"/>
    <n v="549"/>
    <n v="347"/>
    <n v="3.6"/>
    <s v="Activité élevée"/>
  </r>
  <r>
    <n v="32"/>
    <x v="1"/>
    <s v="34"/>
    <n v="2025"/>
    <n v="2"/>
    <s v="Soins de réadaptation"/>
    <n v="332"/>
    <n v="309"/>
    <n v="5.8"/>
    <s v="Activité normale"/>
  </r>
  <r>
    <n v="33"/>
    <x v="2"/>
    <s v="31"/>
    <n v="2025"/>
    <n v="2"/>
    <s v="Médecine"/>
    <n v="518"/>
    <n v="463"/>
    <n v="4.4000000000000004"/>
    <s v="Activité élevée"/>
  </r>
  <r>
    <n v="34"/>
    <x v="2"/>
    <s v="31"/>
    <n v="2025"/>
    <n v="2"/>
    <s v="Chirurgie"/>
    <n v="221"/>
    <n v="175"/>
    <n v="5.4"/>
    <s v="Activité normale"/>
  </r>
  <r>
    <n v="35"/>
    <x v="2"/>
    <s v="31"/>
    <n v="2025"/>
    <n v="2"/>
    <s v="Maternité"/>
    <n v="128"/>
    <n v="78"/>
    <n v="2.7"/>
    <s v="Activité normale"/>
  </r>
  <r>
    <n v="36"/>
    <x v="2"/>
    <s v="31"/>
    <n v="2025"/>
    <n v="2"/>
    <s v="Soins de réadaptation"/>
    <n v="243"/>
    <n v="222"/>
    <n v="6.9"/>
    <s v="Activité normale"/>
  </r>
  <r>
    <n v="37"/>
    <x v="3"/>
    <s v="31"/>
    <n v="2025"/>
    <n v="2"/>
    <s v="Médecine"/>
    <n v="145"/>
    <n v="121"/>
    <n v="4.5999999999999996"/>
    <s v="Activité normale"/>
  </r>
  <r>
    <n v="38"/>
    <x v="3"/>
    <s v="31"/>
    <n v="2025"/>
    <n v="2"/>
    <s v="Chirurgie"/>
    <n v="559"/>
    <n v="549"/>
    <n v="3.5"/>
    <s v="Activité élevée"/>
  </r>
  <r>
    <n v="39"/>
    <x v="3"/>
    <s v="31"/>
    <n v="2025"/>
    <n v="2"/>
    <s v="Maternité"/>
    <n v="646"/>
    <n v="328"/>
    <n v="6.9"/>
    <s v="Activité élevée"/>
  </r>
  <r>
    <n v="40"/>
    <x v="3"/>
    <s v="31"/>
    <n v="2025"/>
    <n v="2"/>
    <s v="Soins de réadaptation"/>
    <n v="197"/>
    <n v="185"/>
    <n v="8.6"/>
    <s v="Activité normale"/>
  </r>
  <r>
    <n v="41"/>
    <x v="4"/>
    <s v="30"/>
    <n v="2025"/>
    <n v="2"/>
    <s v="Médecine"/>
    <n v="353"/>
    <n v="340"/>
    <n v="4.2"/>
    <s v="Activité normale"/>
  </r>
  <r>
    <n v="42"/>
    <x v="4"/>
    <s v="30"/>
    <n v="2025"/>
    <n v="2"/>
    <s v="Chirurgie"/>
    <n v="380"/>
    <n v="301"/>
    <n v="2.8"/>
    <s v="Activité normale"/>
  </r>
  <r>
    <n v="43"/>
    <x v="4"/>
    <s v="30"/>
    <n v="2025"/>
    <n v="2"/>
    <s v="Maternité"/>
    <n v="83"/>
    <n v="57"/>
    <n v="9.3000000000000007"/>
    <s v="Activité normale"/>
  </r>
  <r>
    <n v="44"/>
    <x v="4"/>
    <s v="30"/>
    <n v="2025"/>
    <n v="2"/>
    <s v="Soins de réadaptation"/>
    <n v="262"/>
    <n v="260"/>
    <n v="8.8000000000000007"/>
    <s v="Activité normale"/>
  </r>
  <r>
    <n v="45"/>
    <x v="5"/>
    <s v="66"/>
    <n v="2025"/>
    <n v="2"/>
    <s v="Médecine"/>
    <n v="385"/>
    <n v="355"/>
    <n v="5.6"/>
    <s v="Activité normale"/>
  </r>
  <r>
    <n v="46"/>
    <x v="5"/>
    <s v="66"/>
    <n v="2025"/>
    <n v="2"/>
    <s v="Chirurgie"/>
    <n v="283"/>
    <n v="180"/>
    <n v="4.5"/>
    <s v="Activité normale"/>
  </r>
  <r>
    <n v="47"/>
    <x v="5"/>
    <s v="66"/>
    <n v="2025"/>
    <n v="2"/>
    <s v="Maternité"/>
    <n v="245"/>
    <n v="191"/>
    <n v="9.1"/>
    <s v="Activité normale"/>
  </r>
  <r>
    <n v="48"/>
    <x v="5"/>
    <s v="66"/>
    <n v="2025"/>
    <n v="2"/>
    <s v="Soins de réadaptation"/>
    <n v="623"/>
    <n v="311"/>
    <n v="6.3"/>
    <s v="Activité élevée"/>
  </r>
  <r>
    <n v="49"/>
    <x v="0"/>
    <s v="34"/>
    <n v="2025"/>
    <n v="3"/>
    <s v="Médecine"/>
    <n v="580"/>
    <n v="299"/>
    <n v="2.4"/>
    <s v="Activité élevée"/>
  </r>
  <r>
    <n v="50"/>
    <x v="0"/>
    <s v="34"/>
    <n v="2025"/>
    <n v="3"/>
    <s v="Chirurgie"/>
    <n v="451"/>
    <n v="449"/>
    <n v="9.4"/>
    <s v="Activité normale"/>
  </r>
  <r>
    <n v="51"/>
    <x v="0"/>
    <s v="34"/>
    <n v="2025"/>
    <n v="3"/>
    <s v="Maternité"/>
    <n v="394"/>
    <n v="258"/>
    <n v="2"/>
    <s v="Activité normale"/>
  </r>
  <r>
    <n v="52"/>
    <x v="0"/>
    <s v="34"/>
    <n v="2025"/>
    <n v="3"/>
    <s v="Soins de réadaptation"/>
    <n v="160"/>
    <n v="90"/>
    <n v="7.4"/>
    <s v="Activité normale"/>
  </r>
  <r>
    <n v="53"/>
    <x v="1"/>
    <s v="34"/>
    <n v="2025"/>
    <n v="3"/>
    <s v="Médecine"/>
    <n v="150"/>
    <n v="143"/>
    <n v="7.6"/>
    <s v="Activité normale"/>
  </r>
  <r>
    <n v="54"/>
    <x v="1"/>
    <s v="34"/>
    <n v="2025"/>
    <n v="3"/>
    <s v="Chirurgie"/>
    <n v="211"/>
    <n v="189"/>
    <n v="5.3"/>
    <s v="Activité normale"/>
  </r>
  <r>
    <n v="55"/>
    <x v="1"/>
    <s v="34"/>
    <n v="2025"/>
    <n v="3"/>
    <s v="Maternité"/>
    <n v="642"/>
    <n v="405"/>
    <n v="3.6"/>
    <s v="Activité élevée"/>
  </r>
  <r>
    <n v="56"/>
    <x v="1"/>
    <s v="34"/>
    <n v="2025"/>
    <n v="3"/>
    <s v="Soins de réadaptation"/>
    <n v="513"/>
    <n v="364"/>
    <n v="8.9"/>
    <s v="Activité élevée"/>
  </r>
  <r>
    <n v="57"/>
    <x v="2"/>
    <s v="31"/>
    <n v="2025"/>
    <n v="3"/>
    <s v="Médecine"/>
    <n v="285"/>
    <n v="221"/>
    <n v="4.7"/>
    <s v="Activité normale"/>
  </r>
  <r>
    <n v="58"/>
    <x v="2"/>
    <s v="31"/>
    <n v="2025"/>
    <n v="3"/>
    <s v="Chirurgie"/>
    <n v="462"/>
    <n v="343"/>
    <n v="8.6999999999999993"/>
    <s v="Activité normale"/>
  </r>
  <r>
    <n v="59"/>
    <x v="2"/>
    <s v="31"/>
    <n v="2025"/>
    <n v="3"/>
    <s v="Maternité"/>
    <n v="542"/>
    <n v="332"/>
    <n v="3.5"/>
    <s v="Activité élevée"/>
  </r>
  <r>
    <n v="60"/>
    <x v="2"/>
    <s v="31"/>
    <n v="2025"/>
    <n v="3"/>
    <s v="Soins de réadaptation"/>
    <n v="145"/>
    <n v="115"/>
    <n v="1.7"/>
    <s v="Activité normale"/>
  </r>
  <r>
    <n v="61"/>
    <x v="3"/>
    <s v="31"/>
    <n v="2025"/>
    <n v="3"/>
    <s v="Médecine"/>
    <n v="647"/>
    <n v="440"/>
    <n v="6.2"/>
    <s v="Activité élevée"/>
  </r>
  <r>
    <n v="62"/>
    <x v="3"/>
    <s v="31"/>
    <n v="2025"/>
    <n v="3"/>
    <s v="Chirurgie"/>
    <n v="87"/>
    <n v="47"/>
    <n v="7.2"/>
    <s v="Activité normale"/>
  </r>
  <r>
    <n v="63"/>
    <x v="3"/>
    <s v="31"/>
    <n v="2025"/>
    <n v="3"/>
    <s v="Maternité"/>
    <n v="140"/>
    <n v="99"/>
    <n v="2"/>
    <s v="Activité normale"/>
  </r>
  <r>
    <n v="64"/>
    <x v="3"/>
    <s v="31"/>
    <n v="2025"/>
    <n v="3"/>
    <s v="Soins de réadaptation"/>
    <n v="112"/>
    <n v="111"/>
    <n v="4.0999999999999996"/>
    <s v="Activité normale"/>
  </r>
  <r>
    <n v="65"/>
    <x v="4"/>
    <s v="30"/>
    <n v="2025"/>
    <n v="3"/>
    <s v="Médecine"/>
    <n v="606"/>
    <n v="424"/>
    <n v="3.7"/>
    <s v="Activité élevée"/>
  </r>
  <r>
    <n v="66"/>
    <x v="4"/>
    <s v="30"/>
    <n v="2025"/>
    <n v="3"/>
    <s v="Chirurgie"/>
    <n v="577"/>
    <n v="397"/>
    <n v="5.8"/>
    <s v="Activité élevée"/>
  </r>
  <r>
    <n v="67"/>
    <x v="4"/>
    <s v="30"/>
    <n v="2025"/>
    <n v="3"/>
    <s v="Maternité"/>
    <n v="564"/>
    <n v="406"/>
    <n v="7.8"/>
    <s v="Activité élevée"/>
  </r>
  <r>
    <n v="68"/>
    <x v="4"/>
    <s v="30"/>
    <n v="2025"/>
    <n v="3"/>
    <s v="Soins de réadaptation"/>
    <n v="496"/>
    <n v="296"/>
    <n v="2.2999999999999998"/>
    <s v="Activité normale"/>
  </r>
  <r>
    <n v="69"/>
    <x v="5"/>
    <s v="66"/>
    <n v="2025"/>
    <n v="3"/>
    <s v="Médecine"/>
    <n v="521"/>
    <n v="441"/>
    <n v="4.9000000000000004"/>
    <s v="Activité élevée"/>
  </r>
  <r>
    <n v="70"/>
    <x v="5"/>
    <s v="66"/>
    <n v="2025"/>
    <n v="3"/>
    <s v="Chirurgie"/>
    <n v="558"/>
    <n v="306"/>
    <n v="6.9"/>
    <s v="Activité élevée"/>
  </r>
  <r>
    <n v="71"/>
    <x v="5"/>
    <s v="66"/>
    <n v="2025"/>
    <n v="3"/>
    <s v="Maternité"/>
    <n v="180"/>
    <n v="97"/>
    <n v="4.7"/>
    <s v="Activité normale"/>
  </r>
  <r>
    <n v="72"/>
    <x v="5"/>
    <s v="66"/>
    <n v="2025"/>
    <n v="3"/>
    <s v="Soins de réadaptation"/>
    <n v="427"/>
    <n v="417"/>
    <n v="8.4"/>
    <s v="Activité normale"/>
  </r>
  <r>
    <n v="73"/>
    <x v="0"/>
    <s v="34"/>
    <n v="2025"/>
    <n v="4"/>
    <s v="Médecine"/>
    <n v="334"/>
    <n v="216"/>
    <n v="3"/>
    <s v="Activité normale"/>
  </r>
  <r>
    <n v="74"/>
    <x v="0"/>
    <s v="34"/>
    <n v="2025"/>
    <n v="4"/>
    <s v="Chirurgie"/>
    <n v="539"/>
    <n v="340"/>
    <n v="4.9000000000000004"/>
    <s v="Activité élevée"/>
  </r>
  <r>
    <n v="75"/>
    <x v="0"/>
    <s v="34"/>
    <n v="2025"/>
    <n v="4"/>
    <s v="Maternité"/>
    <n v="365"/>
    <n v="300"/>
    <n v="3.5"/>
    <s v="Activité normale"/>
  </r>
  <r>
    <n v="76"/>
    <x v="0"/>
    <s v="34"/>
    <n v="2025"/>
    <n v="4"/>
    <s v="Soins de réadaptation"/>
    <n v="157"/>
    <n v="134"/>
    <n v="8"/>
    <s v="Activité normale"/>
  </r>
  <r>
    <n v="77"/>
    <x v="1"/>
    <s v="34"/>
    <n v="2025"/>
    <n v="4"/>
    <s v="Médecine"/>
    <n v="643"/>
    <n v="371"/>
    <n v="1.9"/>
    <s v="Activité élevée"/>
  </r>
  <r>
    <n v="78"/>
    <x v="1"/>
    <s v="34"/>
    <n v="2025"/>
    <n v="4"/>
    <s v="Chirurgie"/>
    <n v="633"/>
    <n v="323"/>
    <n v="9.3000000000000007"/>
    <s v="Activité élevée"/>
  </r>
  <r>
    <n v="79"/>
    <x v="1"/>
    <s v="34"/>
    <n v="2025"/>
    <n v="4"/>
    <s v="Maternité"/>
    <n v="322"/>
    <n v="203"/>
    <n v="4.8"/>
    <s v="Activité normale"/>
  </r>
  <r>
    <n v="80"/>
    <x v="1"/>
    <s v="34"/>
    <n v="2025"/>
    <n v="4"/>
    <s v="Soins de réadaptation"/>
    <n v="572"/>
    <n v="395"/>
    <n v="8.4"/>
    <s v="Activité élevée"/>
  </r>
  <r>
    <n v="81"/>
    <x v="2"/>
    <s v="31"/>
    <n v="2025"/>
    <n v="4"/>
    <s v="Médecine"/>
    <n v="140"/>
    <n v="91"/>
    <n v="4.5"/>
    <s v="Activité normale"/>
  </r>
  <r>
    <n v="82"/>
    <x v="2"/>
    <s v="31"/>
    <n v="2025"/>
    <n v="4"/>
    <s v="Chirurgie"/>
    <n v="479"/>
    <n v="306"/>
    <n v="8.9"/>
    <s v="Activité normale"/>
  </r>
  <r>
    <n v="83"/>
    <x v="2"/>
    <s v="31"/>
    <n v="2025"/>
    <n v="4"/>
    <s v="Maternité"/>
    <n v="545"/>
    <n v="418"/>
    <n v="4.9000000000000004"/>
    <s v="Activité élevée"/>
  </r>
  <r>
    <n v="84"/>
    <x v="2"/>
    <s v="31"/>
    <n v="2025"/>
    <n v="4"/>
    <s v="Soins de réadaptation"/>
    <n v="649"/>
    <n v="573"/>
    <n v="2.7"/>
    <s v="Activité élevée"/>
  </r>
  <r>
    <n v="85"/>
    <x v="3"/>
    <s v="31"/>
    <n v="2025"/>
    <n v="4"/>
    <s v="Médecine"/>
    <n v="383"/>
    <n v="246"/>
    <n v="9.1999999999999993"/>
    <s v="Activité normale"/>
  </r>
  <r>
    <n v="86"/>
    <x v="3"/>
    <s v="31"/>
    <n v="2025"/>
    <n v="4"/>
    <s v="Chirurgie"/>
    <n v="635"/>
    <n v="348"/>
    <n v="7.5"/>
    <s v="Activité élevée"/>
  </r>
  <r>
    <n v="87"/>
    <x v="3"/>
    <s v="31"/>
    <n v="2025"/>
    <n v="4"/>
    <s v="Maternité"/>
    <n v="138"/>
    <n v="75"/>
    <n v="6.2"/>
    <s v="Activité normale"/>
  </r>
  <r>
    <n v="88"/>
    <x v="3"/>
    <s v="31"/>
    <n v="2025"/>
    <n v="4"/>
    <s v="Soins de réadaptation"/>
    <n v="594"/>
    <n v="568"/>
    <n v="2.8"/>
    <s v="Activité élevée"/>
  </r>
  <r>
    <n v="89"/>
    <x v="4"/>
    <s v="30"/>
    <n v="2025"/>
    <n v="4"/>
    <s v="Médecine"/>
    <n v="600"/>
    <n v="341"/>
    <n v="8.3000000000000007"/>
    <s v="Activité élevée"/>
  </r>
  <r>
    <n v="90"/>
    <x v="4"/>
    <s v="30"/>
    <n v="2025"/>
    <n v="4"/>
    <s v="Chirurgie"/>
    <n v="150"/>
    <n v="83"/>
    <n v="6.9"/>
    <s v="Activité normale"/>
  </r>
  <r>
    <n v="91"/>
    <x v="4"/>
    <s v="30"/>
    <n v="2025"/>
    <n v="4"/>
    <s v="Maternité"/>
    <n v="320"/>
    <n v="263"/>
    <n v="2.5"/>
    <s v="Activité normale"/>
  </r>
  <r>
    <n v="92"/>
    <x v="4"/>
    <s v="30"/>
    <n v="2025"/>
    <n v="4"/>
    <s v="Soins de réadaptation"/>
    <n v="332"/>
    <n v="314"/>
    <n v="6.3"/>
    <s v="Activité normale"/>
  </r>
  <r>
    <n v="93"/>
    <x v="5"/>
    <s v="66"/>
    <n v="2025"/>
    <n v="4"/>
    <s v="Médecine"/>
    <n v="163"/>
    <n v="134"/>
    <n v="6.8"/>
    <s v="Activité normale"/>
  </r>
  <r>
    <n v="94"/>
    <x v="5"/>
    <s v="66"/>
    <n v="2025"/>
    <n v="4"/>
    <s v="Chirurgie"/>
    <n v="615"/>
    <n v="468"/>
    <n v="9"/>
    <s v="Activité élevée"/>
  </r>
  <r>
    <n v="95"/>
    <x v="5"/>
    <s v="66"/>
    <n v="2025"/>
    <n v="4"/>
    <s v="Maternité"/>
    <n v="289"/>
    <n v="224"/>
    <n v="3.4"/>
    <s v="Activité normale"/>
  </r>
  <r>
    <n v="96"/>
    <x v="5"/>
    <s v="66"/>
    <n v="2025"/>
    <n v="4"/>
    <s v="Soins de réadaptation"/>
    <n v="485"/>
    <n v="275"/>
    <n v="6.9"/>
    <s v="Activité normale"/>
  </r>
  <r>
    <n v="97"/>
    <x v="0"/>
    <s v="34"/>
    <n v="2025"/>
    <n v="5"/>
    <s v="Médecine"/>
    <n v="387"/>
    <n v="310"/>
    <n v="4"/>
    <s v="Activité normale"/>
  </r>
  <r>
    <n v="98"/>
    <x v="0"/>
    <s v="34"/>
    <n v="2025"/>
    <n v="5"/>
    <s v="Chirurgie"/>
    <n v="154"/>
    <n v="78"/>
    <n v="5.2"/>
    <s v="Activité normale"/>
  </r>
  <r>
    <n v="99"/>
    <x v="0"/>
    <s v="34"/>
    <n v="2025"/>
    <n v="5"/>
    <s v="Maternité"/>
    <n v="182"/>
    <n v="100"/>
    <n v="5.8"/>
    <s v="Activité normale"/>
  </r>
  <r>
    <n v="100"/>
    <x v="0"/>
    <s v="34"/>
    <n v="2025"/>
    <n v="5"/>
    <s v="Soins de réadaptation"/>
    <n v="598"/>
    <n v="434"/>
    <n v="2.6"/>
    <s v="Activité élevée"/>
  </r>
  <r>
    <n v="101"/>
    <x v="1"/>
    <s v="34"/>
    <n v="2025"/>
    <n v="5"/>
    <s v="Médecine"/>
    <n v="437"/>
    <n v="235"/>
    <n v="8.5"/>
    <s v="Activité normale"/>
  </r>
  <r>
    <n v="102"/>
    <x v="1"/>
    <s v="34"/>
    <n v="2025"/>
    <n v="5"/>
    <s v="Chirurgie"/>
    <n v="458"/>
    <n v="301"/>
    <n v="2.8"/>
    <s v="Activité normale"/>
  </r>
  <r>
    <n v="103"/>
    <x v="1"/>
    <s v="34"/>
    <n v="2025"/>
    <n v="5"/>
    <s v="Maternité"/>
    <n v="636"/>
    <n v="472"/>
    <n v="6.4"/>
    <s v="Activité élevée"/>
  </r>
  <r>
    <n v="104"/>
    <x v="1"/>
    <s v="34"/>
    <n v="2025"/>
    <n v="5"/>
    <s v="Soins de réadaptation"/>
    <n v="621"/>
    <n v="314"/>
    <n v="6.8"/>
    <s v="Activité élevée"/>
  </r>
  <r>
    <n v="105"/>
    <x v="2"/>
    <s v="31"/>
    <n v="2025"/>
    <n v="5"/>
    <s v="Médecine"/>
    <n v="647"/>
    <n v="476"/>
    <n v="9"/>
    <s v="Activité élevée"/>
  </r>
  <r>
    <n v="106"/>
    <x v="2"/>
    <s v="31"/>
    <n v="2025"/>
    <n v="5"/>
    <s v="Chirurgie"/>
    <n v="186"/>
    <n v="110"/>
    <n v="3.6"/>
    <s v="Activité normale"/>
  </r>
  <r>
    <n v="107"/>
    <x v="2"/>
    <s v="31"/>
    <n v="2025"/>
    <n v="5"/>
    <s v="Maternité"/>
    <n v="189"/>
    <n v="189"/>
    <n v="5.9"/>
    <s v="Activité normale"/>
  </r>
  <r>
    <n v="108"/>
    <x v="2"/>
    <s v="31"/>
    <n v="2025"/>
    <n v="5"/>
    <s v="Soins de réadaptation"/>
    <n v="358"/>
    <n v="251"/>
    <n v="6.3"/>
    <s v="Activité normale"/>
  </r>
  <r>
    <n v="109"/>
    <x v="3"/>
    <s v="31"/>
    <n v="2025"/>
    <n v="5"/>
    <s v="Médecine"/>
    <n v="431"/>
    <n v="267"/>
    <n v="7"/>
    <s v="Activité normale"/>
  </r>
  <r>
    <n v="110"/>
    <x v="3"/>
    <s v="31"/>
    <n v="2025"/>
    <n v="5"/>
    <s v="Chirurgie"/>
    <n v="350"/>
    <n v="304"/>
    <n v="5.4"/>
    <s v="Activité normale"/>
  </r>
  <r>
    <n v="111"/>
    <x v="3"/>
    <s v="31"/>
    <n v="2025"/>
    <n v="5"/>
    <s v="Maternité"/>
    <n v="132"/>
    <n v="77"/>
    <n v="6.6"/>
    <s v="Activité normale"/>
  </r>
  <r>
    <n v="112"/>
    <x v="3"/>
    <s v="31"/>
    <n v="2025"/>
    <n v="5"/>
    <s v="Soins de réadaptation"/>
    <n v="363"/>
    <n v="192"/>
    <n v="1.5"/>
    <s v="Activité normale"/>
  </r>
  <r>
    <n v="113"/>
    <x v="4"/>
    <s v="30"/>
    <n v="2025"/>
    <n v="5"/>
    <s v="Médecine"/>
    <n v="213"/>
    <n v="187"/>
    <n v="9.3000000000000007"/>
    <s v="Activité normale"/>
  </r>
  <r>
    <n v="114"/>
    <x v="4"/>
    <s v="30"/>
    <n v="2025"/>
    <n v="5"/>
    <s v="Chirurgie"/>
    <n v="245"/>
    <n v="216"/>
    <n v="5"/>
    <s v="Activité normale"/>
  </r>
  <r>
    <n v="115"/>
    <x v="4"/>
    <s v="30"/>
    <n v="2025"/>
    <n v="5"/>
    <s v="Maternité"/>
    <n v="517"/>
    <n v="262"/>
    <n v="2.4"/>
    <s v="Activité élevée"/>
  </r>
  <r>
    <n v="116"/>
    <x v="4"/>
    <s v="30"/>
    <n v="2025"/>
    <n v="5"/>
    <s v="Soins de réadaptation"/>
    <n v="232"/>
    <n v="185"/>
    <n v="1.8"/>
    <s v="Activité normale"/>
  </r>
  <r>
    <n v="117"/>
    <x v="5"/>
    <s v="66"/>
    <n v="2025"/>
    <n v="5"/>
    <s v="Médecine"/>
    <n v="458"/>
    <n v="378"/>
    <n v="5.9"/>
    <s v="Activité normale"/>
  </r>
  <r>
    <n v="118"/>
    <x v="5"/>
    <s v="66"/>
    <n v="2025"/>
    <n v="5"/>
    <s v="Chirurgie"/>
    <n v="520"/>
    <n v="325"/>
    <n v="1.8"/>
    <s v="Activité élevée"/>
  </r>
  <r>
    <n v="119"/>
    <x v="5"/>
    <s v="66"/>
    <n v="2025"/>
    <n v="5"/>
    <s v="Maternité"/>
    <n v="453"/>
    <n v="429"/>
    <n v="9.3000000000000007"/>
    <s v="Activité normale"/>
  </r>
  <r>
    <n v="120"/>
    <x v="5"/>
    <s v="66"/>
    <n v="2025"/>
    <n v="5"/>
    <s v="Soins de réadaptation"/>
    <n v="120"/>
    <n v="117"/>
    <n v="4.4000000000000004"/>
    <s v="Activité normale"/>
  </r>
  <r>
    <n v="121"/>
    <x v="0"/>
    <s v="34"/>
    <n v="2025"/>
    <n v="6"/>
    <s v="Médecine"/>
    <n v="335"/>
    <n v="193"/>
    <n v="4.3"/>
    <s v="Activité normale"/>
  </r>
  <r>
    <n v="122"/>
    <x v="0"/>
    <s v="34"/>
    <n v="2025"/>
    <n v="6"/>
    <s v="Chirurgie"/>
    <n v="496"/>
    <n v="406"/>
    <n v="7.5"/>
    <s v="Activité normale"/>
  </r>
  <r>
    <n v="123"/>
    <x v="0"/>
    <s v="34"/>
    <n v="2025"/>
    <n v="6"/>
    <s v="Maternité"/>
    <n v="322"/>
    <n v="202"/>
    <n v="9.3000000000000007"/>
    <s v="Activité normale"/>
  </r>
  <r>
    <n v="124"/>
    <x v="0"/>
    <s v="34"/>
    <n v="2025"/>
    <n v="6"/>
    <s v="Soins de réadaptation"/>
    <n v="261"/>
    <n v="235"/>
    <n v="1.7"/>
    <s v="Activité normale"/>
  </r>
  <r>
    <n v="125"/>
    <x v="1"/>
    <s v="34"/>
    <n v="2025"/>
    <n v="6"/>
    <s v="Médecine"/>
    <n v="420"/>
    <n v="410"/>
    <n v="8.9"/>
    <s v="Activité normale"/>
  </r>
  <r>
    <n v="126"/>
    <x v="1"/>
    <s v="34"/>
    <n v="2025"/>
    <n v="6"/>
    <s v="Chirurgie"/>
    <n v="334"/>
    <n v="235"/>
    <n v="2.8"/>
    <s v="Activité normale"/>
  </r>
  <r>
    <n v="127"/>
    <x v="1"/>
    <s v="34"/>
    <n v="2025"/>
    <n v="6"/>
    <s v="Maternité"/>
    <n v="190"/>
    <n v="143"/>
    <n v="8.5"/>
    <s v="Activité normale"/>
  </r>
  <r>
    <n v="128"/>
    <x v="1"/>
    <s v="34"/>
    <n v="2025"/>
    <n v="6"/>
    <s v="Soins de réadaptation"/>
    <n v="561"/>
    <n v="393"/>
    <n v="3.1"/>
    <s v="Activité élevée"/>
  </r>
  <r>
    <n v="129"/>
    <x v="2"/>
    <s v="31"/>
    <n v="2025"/>
    <n v="6"/>
    <s v="Médecine"/>
    <n v="551"/>
    <n v="454"/>
    <n v="3.9"/>
    <s v="Activité élevée"/>
  </r>
  <r>
    <n v="130"/>
    <x v="2"/>
    <s v="31"/>
    <n v="2025"/>
    <n v="6"/>
    <s v="Chirurgie"/>
    <n v="313"/>
    <n v="213"/>
    <n v="1.7"/>
    <s v="Activité normale"/>
  </r>
  <r>
    <n v="131"/>
    <x v="2"/>
    <s v="31"/>
    <n v="2025"/>
    <n v="6"/>
    <s v="Maternité"/>
    <n v="277"/>
    <n v="240"/>
    <n v="4.0999999999999996"/>
    <s v="Activité normale"/>
  </r>
  <r>
    <n v="132"/>
    <x v="2"/>
    <s v="31"/>
    <n v="2025"/>
    <n v="6"/>
    <s v="Soins de réadaptation"/>
    <n v="151"/>
    <n v="110"/>
    <n v="4.3"/>
    <s v="Activité normale"/>
  </r>
  <r>
    <n v="133"/>
    <x v="3"/>
    <s v="31"/>
    <n v="2025"/>
    <n v="6"/>
    <s v="Médecine"/>
    <n v="601"/>
    <n v="504"/>
    <n v="6.9"/>
    <s v="Activité élevée"/>
  </r>
  <r>
    <n v="134"/>
    <x v="3"/>
    <s v="31"/>
    <n v="2025"/>
    <n v="6"/>
    <s v="Chirurgie"/>
    <n v="629"/>
    <n v="483"/>
    <n v="9"/>
    <s v="Activité élevée"/>
  </r>
  <r>
    <n v="135"/>
    <x v="3"/>
    <s v="31"/>
    <n v="2025"/>
    <n v="6"/>
    <s v="Maternité"/>
    <n v="198"/>
    <n v="132"/>
    <n v="2.9"/>
    <s v="Activité normale"/>
  </r>
  <r>
    <n v="136"/>
    <x v="3"/>
    <s v="31"/>
    <n v="2025"/>
    <n v="6"/>
    <s v="Soins de réadaptation"/>
    <n v="351"/>
    <n v="184"/>
    <n v="2.4"/>
    <s v="Activité normale"/>
  </r>
  <r>
    <n v="137"/>
    <x v="4"/>
    <s v="30"/>
    <n v="2025"/>
    <n v="6"/>
    <s v="Médecine"/>
    <n v="524"/>
    <n v="438"/>
    <n v="7.3"/>
    <s v="Activité élevée"/>
  </r>
  <r>
    <n v="138"/>
    <x v="4"/>
    <s v="30"/>
    <n v="2025"/>
    <n v="6"/>
    <s v="Chirurgie"/>
    <n v="401"/>
    <n v="311"/>
    <n v="6.3"/>
    <s v="Activité normale"/>
  </r>
  <r>
    <n v="139"/>
    <x v="4"/>
    <s v="30"/>
    <n v="2025"/>
    <n v="6"/>
    <s v="Maternité"/>
    <n v="603"/>
    <n v="360"/>
    <n v="4.5999999999999996"/>
    <s v="Activité élevée"/>
  </r>
  <r>
    <n v="140"/>
    <x v="4"/>
    <s v="30"/>
    <n v="2025"/>
    <n v="6"/>
    <s v="Soins de réadaptation"/>
    <n v="274"/>
    <n v="202"/>
    <n v="1.9"/>
    <s v="Activité normale"/>
  </r>
  <r>
    <n v="141"/>
    <x v="5"/>
    <s v="66"/>
    <n v="2025"/>
    <n v="6"/>
    <s v="Médecine"/>
    <n v="526"/>
    <n v="263"/>
    <n v="5.7"/>
    <s v="Activité élevée"/>
  </r>
  <r>
    <n v="142"/>
    <x v="5"/>
    <s v="66"/>
    <n v="2025"/>
    <n v="6"/>
    <s v="Chirurgie"/>
    <n v="631"/>
    <n v="415"/>
    <n v="4.4000000000000004"/>
    <s v="Activité élevée"/>
  </r>
  <r>
    <n v="143"/>
    <x v="5"/>
    <s v="66"/>
    <n v="2025"/>
    <n v="6"/>
    <s v="Maternité"/>
    <n v="151"/>
    <n v="117"/>
    <n v="6.5"/>
    <s v="Activité normale"/>
  </r>
  <r>
    <n v="144"/>
    <x v="5"/>
    <s v="66"/>
    <n v="2025"/>
    <n v="6"/>
    <s v="Soins de réadaptation"/>
    <n v="207"/>
    <n v="195"/>
    <n v="8.6999999999999993"/>
    <s v="Activité normale"/>
  </r>
  <r>
    <n v="145"/>
    <x v="0"/>
    <s v="34"/>
    <n v="2026"/>
    <n v="1"/>
    <s v="Médecine"/>
    <n v="599"/>
    <n v="457"/>
    <n v="6.8"/>
    <s v="Activité élevée"/>
  </r>
  <r>
    <n v="146"/>
    <x v="0"/>
    <s v="34"/>
    <n v="2026"/>
    <n v="1"/>
    <s v="Chirurgie"/>
    <n v="414"/>
    <n v="310"/>
    <n v="7.1"/>
    <s v="Activité normale"/>
  </r>
  <r>
    <n v="147"/>
    <x v="0"/>
    <s v="34"/>
    <n v="2026"/>
    <n v="1"/>
    <s v="Maternité"/>
    <n v="647"/>
    <n v="388"/>
    <n v="3"/>
    <s v="Activité élevée"/>
  </r>
  <r>
    <n v="148"/>
    <x v="0"/>
    <s v="34"/>
    <n v="2026"/>
    <n v="1"/>
    <s v="Soins de réadaptation"/>
    <n v="468"/>
    <n v="407"/>
    <n v="7.5"/>
    <s v="Activité normale"/>
  </r>
  <r>
    <n v="149"/>
    <x v="1"/>
    <s v="34"/>
    <n v="2026"/>
    <n v="1"/>
    <s v="Médecine"/>
    <n v="258"/>
    <n v="206"/>
    <n v="4.7"/>
    <s v="Activité normale"/>
  </r>
  <r>
    <n v="150"/>
    <x v="1"/>
    <s v="34"/>
    <n v="2026"/>
    <n v="1"/>
    <s v="Chirurgie"/>
    <n v="80"/>
    <n v="59"/>
    <n v="3.8"/>
    <s v="Activité normale"/>
  </r>
  <r>
    <n v="151"/>
    <x v="1"/>
    <s v="34"/>
    <n v="2026"/>
    <n v="1"/>
    <s v="Maternité"/>
    <n v="520"/>
    <n v="424"/>
    <n v="5.2"/>
    <s v="Activité élevée"/>
  </r>
  <r>
    <n v="152"/>
    <x v="1"/>
    <s v="34"/>
    <n v="2026"/>
    <n v="1"/>
    <s v="Soins de réadaptation"/>
    <n v="532"/>
    <n v="375"/>
    <n v="5.6"/>
    <s v="Activité élevée"/>
  </r>
  <r>
    <n v="153"/>
    <x v="2"/>
    <s v="31"/>
    <n v="2026"/>
    <n v="1"/>
    <s v="Médecine"/>
    <n v="253"/>
    <n v="147"/>
    <n v="3.8"/>
    <s v="Activité normale"/>
  </r>
  <r>
    <n v="154"/>
    <x v="2"/>
    <s v="31"/>
    <n v="2026"/>
    <n v="1"/>
    <s v="Chirurgie"/>
    <n v="423"/>
    <n v="234"/>
    <n v="8"/>
    <s v="Activité normale"/>
  </r>
  <r>
    <n v="155"/>
    <x v="2"/>
    <s v="31"/>
    <n v="2026"/>
    <n v="1"/>
    <s v="Maternité"/>
    <n v="320"/>
    <n v="239"/>
    <n v="3.3"/>
    <s v="Activité normale"/>
  </r>
  <r>
    <n v="156"/>
    <x v="2"/>
    <s v="31"/>
    <n v="2026"/>
    <n v="1"/>
    <s v="Soins de réadaptation"/>
    <n v="283"/>
    <n v="178"/>
    <n v="1.7"/>
    <s v="Activité normale"/>
  </r>
  <r>
    <n v="157"/>
    <x v="3"/>
    <s v="31"/>
    <n v="2026"/>
    <n v="1"/>
    <s v="Médecine"/>
    <n v="330"/>
    <n v="286"/>
    <n v="6.4"/>
    <s v="Activité normale"/>
  </r>
  <r>
    <n v="158"/>
    <x v="3"/>
    <s v="31"/>
    <n v="2026"/>
    <n v="1"/>
    <s v="Chirurgie"/>
    <n v="154"/>
    <n v="135"/>
    <n v="4.8"/>
    <s v="Activité normale"/>
  </r>
  <r>
    <n v="159"/>
    <x v="3"/>
    <s v="31"/>
    <n v="2026"/>
    <n v="1"/>
    <s v="Maternité"/>
    <n v="279"/>
    <n v="237"/>
    <n v="5.5"/>
    <s v="Activité normale"/>
  </r>
  <r>
    <n v="160"/>
    <x v="3"/>
    <s v="31"/>
    <n v="2026"/>
    <n v="1"/>
    <s v="Soins de réadaptation"/>
    <n v="329"/>
    <n v="201"/>
    <n v="6.7"/>
    <s v="Activité normale"/>
  </r>
  <r>
    <n v="161"/>
    <x v="4"/>
    <s v="30"/>
    <n v="2026"/>
    <n v="1"/>
    <s v="Médecine"/>
    <n v="85"/>
    <n v="48"/>
    <n v="7.7"/>
    <s v="Activité normale"/>
  </r>
  <r>
    <n v="162"/>
    <x v="4"/>
    <s v="30"/>
    <n v="2026"/>
    <n v="1"/>
    <s v="Chirurgie"/>
    <n v="304"/>
    <n v="197"/>
    <n v="7.9"/>
    <s v="Activité normale"/>
  </r>
  <r>
    <n v="163"/>
    <x v="4"/>
    <s v="30"/>
    <n v="2026"/>
    <n v="1"/>
    <s v="Maternité"/>
    <n v="610"/>
    <n v="542"/>
    <n v="1.9"/>
    <s v="Activité élevée"/>
  </r>
  <r>
    <n v="164"/>
    <x v="4"/>
    <s v="30"/>
    <n v="2026"/>
    <n v="1"/>
    <s v="Soins de réadaptation"/>
    <n v="335"/>
    <n v="198"/>
    <n v="5.2"/>
    <s v="Activité normale"/>
  </r>
  <r>
    <n v="165"/>
    <x v="5"/>
    <s v="66"/>
    <n v="2026"/>
    <n v="1"/>
    <s v="Médecine"/>
    <n v="555"/>
    <n v="548"/>
    <n v="9.4"/>
    <s v="Activité élevée"/>
  </r>
  <r>
    <n v="166"/>
    <x v="5"/>
    <s v="66"/>
    <n v="2026"/>
    <n v="1"/>
    <s v="Chirurgie"/>
    <n v="404"/>
    <n v="395"/>
    <n v="8.6"/>
    <s v="Activité normale"/>
  </r>
  <r>
    <n v="167"/>
    <x v="5"/>
    <s v="66"/>
    <n v="2026"/>
    <n v="1"/>
    <s v="Maternité"/>
    <n v="596"/>
    <n v="516"/>
    <n v="8.1"/>
    <s v="Activité élevée"/>
  </r>
  <r>
    <n v="168"/>
    <x v="5"/>
    <s v="66"/>
    <n v="2026"/>
    <n v="1"/>
    <s v="Soins de réadaptation"/>
    <n v="641"/>
    <n v="548"/>
    <n v="8.6999999999999993"/>
    <s v="Activité élevée"/>
  </r>
  <r>
    <n v="169"/>
    <x v="0"/>
    <s v="34"/>
    <n v="2026"/>
    <n v="2"/>
    <s v="Médecine"/>
    <n v="566"/>
    <n v="513"/>
    <n v="3.6"/>
    <s v="Activité élevée"/>
  </r>
  <r>
    <n v="170"/>
    <x v="0"/>
    <s v="34"/>
    <n v="2026"/>
    <n v="2"/>
    <s v="Chirurgie"/>
    <n v="333"/>
    <n v="329"/>
    <n v="3.7"/>
    <s v="Activité normale"/>
  </r>
  <r>
    <n v="171"/>
    <x v="0"/>
    <s v="34"/>
    <n v="2026"/>
    <n v="2"/>
    <s v="Maternité"/>
    <n v="613"/>
    <n v="554"/>
    <n v="6.5"/>
    <s v="Activité élevée"/>
  </r>
  <r>
    <n v="172"/>
    <x v="0"/>
    <s v="34"/>
    <n v="2026"/>
    <n v="2"/>
    <s v="Soins de réadaptation"/>
    <n v="361"/>
    <n v="292"/>
    <n v="2.1"/>
    <s v="Activité normale"/>
  </r>
  <r>
    <n v="173"/>
    <x v="1"/>
    <s v="34"/>
    <n v="2026"/>
    <n v="2"/>
    <s v="Médecine"/>
    <n v="372"/>
    <n v="246"/>
    <n v="3.7"/>
    <s v="Activité normale"/>
  </r>
  <r>
    <n v="174"/>
    <x v="1"/>
    <s v="34"/>
    <n v="2026"/>
    <n v="2"/>
    <s v="Chirurgie"/>
    <n v="407"/>
    <n v="341"/>
    <n v="2.1"/>
    <s v="Activité normale"/>
  </r>
  <r>
    <n v="175"/>
    <x v="1"/>
    <s v="34"/>
    <n v="2026"/>
    <n v="2"/>
    <s v="Maternité"/>
    <n v="234"/>
    <n v="146"/>
    <n v="4.5999999999999996"/>
    <s v="Activité normale"/>
  </r>
  <r>
    <n v="176"/>
    <x v="1"/>
    <s v="34"/>
    <n v="2026"/>
    <n v="2"/>
    <s v="Soins de réadaptation"/>
    <n v="236"/>
    <n v="208"/>
    <n v="3.2"/>
    <s v="Activité normale"/>
  </r>
  <r>
    <n v="177"/>
    <x v="2"/>
    <s v="31"/>
    <n v="2026"/>
    <n v="2"/>
    <s v="Médecine"/>
    <n v="504"/>
    <n v="356"/>
    <n v="4.0999999999999996"/>
    <s v="Activité élevée"/>
  </r>
  <r>
    <n v="178"/>
    <x v="2"/>
    <s v="31"/>
    <n v="2026"/>
    <n v="2"/>
    <s v="Chirurgie"/>
    <n v="557"/>
    <n v="490"/>
    <n v="2"/>
    <s v="Activité élevée"/>
  </r>
  <r>
    <n v="179"/>
    <x v="2"/>
    <s v="31"/>
    <n v="2026"/>
    <n v="2"/>
    <s v="Maternité"/>
    <n v="510"/>
    <n v="454"/>
    <n v="8.6999999999999993"/>
    <s v="Activité élevée"/>
  </r>
  <r>
    <n v="180"/>
    <x v="2"/>
    <s v="31"/>
    <n v="2026"/>
    <n v="2"/>
    <s v="Soins de réadaptation"/>
    <n v="100"/>
    <n v="98"/>
    <n v="6.1"/>
    <s v="Activité normale"/>
  </r>
  <r>
    <n v="181"/>
    <x v="3"/>
    <s v="31"/>
    <n v="2026"/>
    <n v="2"/>
    <s v="Médecine"/>
    <n v="568"/>
    <n v="287"/>
    <n v="9"/>
    <s v="Activité élevée"/>
  </r>
  <r>
    <n v="182"/>
    <x v="3"/>
    <s v="31"/>
    <n v="2026"/>
    <n v="2"/>
    <s v="Chirurgie"/>
    <n v="385"/>
    <n v="384"/>
    <n v="4.5999999999999996"/>
    <s v="Activité normale"/>
  </r>
  <r>
    <n v="183"/>
    <x v="3"/>
    <s v="31"/>
    <n v="2026"/>
    <n v="2"/>
    <s v="Maternité"/>
    <n v="509"/>
    <n v="366"/>
    <n v="5.4"/>
    <s v="Activité élevée"/>
  </r>
  <r>
    <n v="184"/>
    <x v="3"/>
    <s v="31"/>
    <n v="2026"/>
    <n v="2"/>
    <s v="Soins de réadaptation"/>
    <n v="359"/>
    <n v="290"/>
    <n v="5.4"/>
    <s v="Activité normale"/>
  </r>
  <r>
    <n v="185"/>
    <x v="4"/>
    <s v="30"/>
    <n v="2026"/>
    <n v="2"/>
    <s v="Médecine"/>
    <n v="478"/>
    <n v="325"/>
    <n v="6.9"/>
    <s v="Activité normale"/>
  </r>
  <r>
    <n v="186"/>
    <x v="4"/>
    <s v="30"/>
    <n v="2026"/>
    <n v="2"/>
    <s v="Chirurgie"/>
    <n v="494"/>
    <n v="432"/>
    <n v="2.8"/>
    <s v="Activité normale"/>
  </r>
  <r>
    <n v="187"/>
    <x v="4"/>
    <s v="30"/>
    <n v="2026"/>
    <n v="2"/>
    <s v="Maternité"/>
    <n v="558"/>
    <n v="344"/>
    <n v="9.3000000000000007"/>
    <s v="Activité élevée"/>
  </r>
  <r>
    <n v="188"/>
    <x v="4"/>
    <s v="30"/>
    <n v="2026"/>
    <n v="2"/>
    <s v="Soins de réadaptation"/>
    <n v="626"/>
    <n v="326"/>
    <n v="8.8000000000000007"/>
    <s v="Activité élevée"/>
  </r>
  <r>
    <n v="189"/>
    <x v="5"/>
    <s v="66"/>
    <n v="2026"/>
    <n v="2"/>
    <s v="Médecine"/>
    <n v="107"/>
    <n v="58"/>
    <n v="6.6"/>
    <s v="Activité normale"/>
  </r>
  <r>
    <n v="190"/>
    <x v="5"/>
    <s v="66"/>
    <n v="2026"/>
    <n v="2"/>
    <s v="Chirurgie"/>
    <n v="218"/>
    <n v="168"/>
    <n v="3"/>
    <s v="Activité normale"/>
  </r>
  <r>
    <n v="191"/>
    <x v="5"/>
    <s v="66"/>
    <n v="2026"/>
    <n v="2"/>
    <s v="Maternité"/>
    <n v="346"/>
    <n v="270"/>
    <n v="4.0999999999999996"/>
    <s v="Activité normale"/>
  </r>
  <r>
    <n v="192"/>
    <x v="5"/>
    <s v="66"/>
    <n v="2026"/>
    <n v="2"/>
    <s v="Soins de réadaptation"/>
    <n v="545"/>
    <n v="439"/>
    <n v="4.2"/>
    <s v="Activité élevée"/>
  </r>
  <r>
    <n v="193"/>
    <x v="0"/>
    <s v="34"/>
    <n v="2026"/>
    <n v="3"/>
    <s v="Médecine"/>
    <n v="468"/>
    <n v="305"/>
    <n v="7.5"/>
    <s v="Activité normale"/>
  </r>
  <r>
    <n v="194"/>
    <x v="0"/>
    <s v="34"/>
    <n v="2026"/>
    <n v="3"/>
    <s v="Chirurgie"/>
    <n v="511"/>
    <n v="384"/>
    <n v="8.1999999999999993"/>
    <s v="Activité élevée"/>
  </r>
  <r>
    <n v="195"/>
    <x v="0"/>
    <s v="34"/>
    <n v="2026"/>
    <n v="3"/>
    <s v="Maternité"/>
    <n v="561"/>
    <n v="289"/>
    <n v="7.5"/>
    <s v="Activité élevée"/>
  </r>
  <r>
    <n v="196"/>
    <x v="0"/>
    <s v="34"/>
    <n v="2026"/>
    <n v="3"/>
    <s v="Soins de réadaptation"/>
    <n v="133"/>
    <n v="110"/>
    <n v="3.3"/>
    <s v="Activité normale"/>
  </r>
  <r>
    <n v="197"/>
    <x v="1"/>
    <s v="34"/>
    <n v="2026"/>
    <n v="3"/>
    <s v="Médecine"/>
    <n v="150"/>
    <n v="80"/>
    <n v="7.5"/>
    <s v="Activité normale"/>
  </r>
  <r>
    <n v="198"/>
    <x v="1"/>
    <s v="34"/>
    <n v="2026"/>
    <n v="3"/>
    <s v="Chirurgie"/>
    <n v="333"/>
    <n v="217"/>
    <n v="8.1999999999999993"/>
    <s v="Activité normale"/>
  </r>
  <r>
    <n v="199"/>
    <x v="1"/>
    <s v="34"/>
    <n v="2026"/>
    <n v="3"/>
    <s v="Maternité"/>
    <n v="236"/>
    <n v="148"/>
    <n v="2.5"/>
    <s v="Activité normale"/>
  </r>
  <r>
    <n v="200"/>
    <x v="1"/>
    <s v="34"/>
    <n v="2026"/>
    <n v="3"/>
    <s v="Soins de réadaptation"/>
    <n v="197"/>
    <n v="170"/>
    <n v="9.1"/>
    <s v="Activité normale"/>
  </r>
  <r>
    <n v="201"/>
    <x v="2"/>
    <s v="31"/>
    <n v="2026"/>
    <n v="3"/>
    <s v="Médecine"/>
    <n v="556"/>
    <n v="409"/>
    <n v="7.6"/>
    <s v="Activité élevée"/>
  </r>
  <r>
    <n v="202"/>
    <x v="2"/>
    <s v="31"/>
    <n v="2026"/>
    <n v="3"/>
    <s v="Chirurgie"/>
    <n v="251"/>
    <n v="202"/>
    <n v="6.4"/>
    <s v="Activité normale"/>
  </r>
  <r>
    <n v="203"/>
    <x v="2"/>
    <s v="31"/>
    <n v="2026"/>
    <n v="3"/>
    <s v="Maternité"/>
    <n v="197"/>
    <n v="197"/>
    <n v="8.1"/>
    <s v="Activité normale"/>
  </r>
  <r>
    <n v="204"/>
    <x v="2"/>
    <s v="31"/>
    <n v="2026"/>
    <n v="3"/>
    <s v="Soins de réadaptation"/>
    <n v="398"/>
    <n v="226"/>
    <n v="6.1"/>
    <s v="Activité normale"/>
  </r>
  <r>
    <n v="205"/>
    <x v="3"/>
    <s v="31"/>
    <n v="2026"/>
    <n v="3"/>
    <s v="Médecine"/>
    <n v="399"/>
    <n v="346"/>
    <n v="6.9"/>
    <s v="Activité normale"/>
  </r>
  <r>
    <n v="206"/>
    <x v="3"/>
    <s v="31"/>
    <n v="2026"/>
    <n v="3"/>
    <s v="Chirurgie"/>
    <n v="464"/>
    <n v="333"/>
    <n v="9"/>
    <s v="Activité normale"/>
  </r>
  <r>
    <n v="207"/>
    <x v="3"/>
    <s v="31"/>
    <n v="2026"/>
    <n v="3"/>
    <s v="Maternité"/>
    <n v="283"/>
    <n v="160"/>
    <n v="6.2"/>
    <s v="Activité normale"/>
  </r>
  <r>
    <n v="208"/>
    <x v="3"/>
    <s v="31"/>
    <n v="2026"/>
    <n v="3"/>
    <s v="Soins de réadaptation"/>
    <n v="328"/>
    <n v="190"/>
    <n v="7.1"/>
    <s v="Activité normale"/>
  </r>
  <r>
    <n v="209"/>
    <x v="4"/>
    <s v="30"/>
    <n v="2026"/>
    <n v="3"/>
    <s v="Médecine"/>
    <n v="388"/>
    <n v="369"/>
    <n v="6.3"/>
    <s v="Activité normale"/>
  </r>
  <r>
    <n v="210"/>
    <x v="4"/>
    <s v="30"/>
    <n v="2026"/>
    <n v="3"/>
    <s v="Chirurgie"/>
    <n v="203"/>
    <n v="202"/>
    <n v="9.4"/>
    <s v="Activité normale"/>
  </r>
  <r>
    <n v="211"/>
    <x v="4"/>
    <s v="30"/>
    <n v="2026"/>
    <n v="3"/>
    <s v="Maternité"/>
    <n v="122"/>
    <n v="83"/>
    <n v="5.8"/>
    <s v="Activité normale"/>
  </r>
  <r>
    <n v="212"/>
    <x v="4"/>
    <s v="30"/>
    <n v="2026"/>
    <n v="3"/>
    <s v="Soins de réadaptation"/>
    <n v="459"/>
    <n v="246"/>
    <n v="5.5"/>
    <s v="Activité normale"/>
  </r>
  <r>
    <n v="213"/>
    <x v="5"/>
    <s v="66"/>
    <n v="2026"/>
    <n v="3"/>
    <s v="Médecine"/>
    <n v="429"/>
    <n v="217"/>
    <n v="8.3000000000000007"/>
    <s v="Activité normale"/>
  </r>
  <r>
    <n v="214"/>
    <x v="5"/>
    <s v="66"/>
    <n v="2026"/>
    <n v="3"/>
    <s v="Chirurgie"/>
    <n v="581"/>
    <n v="344"/>
    <n v="5"/>
    <s v="Activité élevée"/>
  </r>
  <r>
    <n v="215"/>
    <x v="5"/>
    <s v="66"/>
    <n v="2026"/>
    <n v="3"/>
    <s v="Maternité"/>
    <n v="450"/>
    <n v="387"/>
    <n v="8.6"/>
    <s v="Activité normale"/>
  </r>
  <r>
    <n v="216"/>
    <x v="5"/>
    <s v="66"/>
    <n v="2026"/>
    <n v="3"/>
    <s v="Soins de réadaptation"/>
    <n v="550"/>
    <n v="353"/>
    <n v="5"/>
    <s v="Activité élevée"/>
  </r>
  <r>
    <n v="217"/>
    <x v="0"/>
    <s v="34"/>
    <n v="2026"/>
    <n v="4"/>
    <s v="Médecine"/>
    <n v="614"/>
    <n v="445"/>
    <n v="6.4"/>
    <s v="Activité élevée"/>
  </r>
  <r>
    <n v="218"/>
    <x v="0"/>
    <s v="34"/>
    <n v="2026"/>
    <n v="4"/>
    <s v="Chirurgie"/>
    <n v="631"/>
    <n v="562"/>
    <n v="5.2"/>
    <s v="Activité élevée"/>
  </r>
  <r>
    <n v="219"/>
    <x v="0"/>
    <s v="34"/>
    <n v="2026"/>
    <n v="4"/>
    <s v="Maternité"/>
    <n v="354"/>
    <n v="259"/>
    <n v="8.3000000000000007"/>
    <s v="Activité normale"/>
  </r>
  <r>
    <n v="220"/>
    <x v="0"/>
    <s v="34"/>
    <n v="2026"/>
    <n v="4"/>
    <s v="Soins de réadaptation"/>
    <n v="168"/>
    <n v="119"/>
    <n v="8.6"/>
    <s v="Activité normale"/>
  </r>
  <r>
    <n v="221"/>
    <x v="1"/>
    <s v="34"/>
    <n v="2026"/>
    <n v="4"/>
    <s v="Médecine"/>
    <n v="329"/>
    <n v="282"/>
    <n v="6.1"/>
    <s v="Activité normale"/>
  </r>
  <r>
    <n v="222"/>
    <x v="1"/>
    <s v="34"/>
    <n v="2026"/>
    <n v="4"/>
    <s v="Chirurgie"/>
    <n v="468"/>
    <n v="320"/>
    <n v="1.7"/>
    <s v="Activité normale"/>
  </r>
  <r>
    <n v="223"/>
    <x v="1"/>
    <s v="34"/>
    <n v="2026"/>
    <n v="4"/>
    <s v="Maternité"/>
    <n v="412"/>
    <n v="252"/>
    <n v="5.4"/>
    <s v="Activité normale"/>
  </r>
  <r>
    <n v="224"/>
    <x v="1"/>
    <s v="34"/>
    <n v="2026"/>
    <n v="4"/>
    <s v="Soins de réadaptation"/>
    <n v="443"/>
    <n v="425"/>
    <n v="3.6"/>
    <s v="Activité normale"/>
  </r>
  <r>
    <n v="225"/>
    <x v="2"/>
    <s v="31"/>
    <n v="2026"/>
    <n v="4"/>
    <s v="Médecine"/>
    <n v="366"/>
    <n v="335"/>
    <n v="7.1"/>
    <s v="Activité normale"/>
  </r>
  <r>
    <n v="226"/>
    <x v="2"/>
    <s v="31"/>
    <n v="2026"/>
    <n v="4"/>
    <s v="Chirurgie"/>
    <n v="362"/>
    <n v="323"/>
    <n v="1.6"/>
    <s v="Activité normale"/>
  </r>
  <r>
    <n v="227"/>
    <x v="2"/>
    <s v="31"/>
    <n v="2026"/>
    <n v="4"/>
    <s v="Maternité"/>
    <n v="275"/>
    <n v="158"/>
    <n v="3.4"/>
    <s v="Activité normale"/>
  </r>
  <r>
    <n v="228"/>
    <x v="2"/>
    <s v="31"/>
    <n v="2026"/>
    <n v="4"/>
    <s v="Soins de réadaptation"/>
    <n v="496"/>
    <n v="373"/>
    <n v="5.9"/>
    <s v="Activité normale"/>
  </r>
  <r>
    <n v="229"/>
    <x v="3"/>
    <s v="31"/>
    <n v="2026"/>
    <n v="4"/>
    <s v="Médecine"/>
    <n v="326"/>
    <n v="284"/>
    <n v="6.7"/>
    <s v="Activité normale"/>
  </r>
  <r>
    <n v="230"/>
    <x v="3"/>
    <s v="31"/>
    <n v="2026"/>
    <n v="4"/>
    <s v="Chirurgie"/>
    <n v="582"/>
    <n v="520"/>
    <n v="7.8"/>
    <s v="Activité élevée"/>
  </r>
  <r>
    <n v="231"/>
    <x v="3"/>
    <s v="31"/>
    <n v="2026"/>
    <n v="4"/>
    <s v="Maternité"/>
    <n v="175"/>
    <n v="124"/>
    <n v="3.3"/>
    <s v="Activité normale"/>
  </r>
  <r>
    <n v="232"/>
    <x v="3"/>
    <s v="31"/>
    <n v="2026"/>
    <n v="4"/>
    <s v="Soins de réadaptation"/>
    <n v="329"/>
    <n v="242"/>
    <n v="6.8"/>
    <s v="Activité normale"/>
  </r>
  <r>
    <n v="233"/>
    <x v="4"/>
    <s v="30"/>
    <n v="2026"/>
    <n v="4"/>
    <s v="Médecine"/>
    <n v="457"/>
    <n v="349"/>
    <n v="5.9"/>
    <s v="Activité normale"/>
  </r>
  <r>
    <n v="234"/>
    <x v="4"/>
    <s v="30"/>
    <n v="2026"/>
    <n v="4"/>
    <s v="Chirurgie"/>
    <n v="432"/>
    <n v="324"/>
    <n v="9.5"/>
    <s v="Activité normale"/>
  </r>
  <r>
    <n v="235"/>
    <x v="4"/>
    <s v="30"/>
    <n v="2026"/>
    <n v="4"/>
    <s v="Maternité"/>
    <n v="643"/>
    <n v="490"/>
    <n v="4.3"/>
    <s v="Activité élevée"/>
  </r>
  <r>
    <n v="236"/>
    <x v="4"/>
    <s v="30"/>
    <n v="2026"/>
    <n v="4"/>
    <s v="Soins de réadaptation"/>
    <n v="544"/>
    <n v="410"/>
    <n v="4"/>
    <s v="Activité élevée"/>
  </r>
  <r>
    <n v="237"/>
    <x v="5"/>
    <s v="66"/>
    <n v="2026"/>
    <n v="4"/>
    <s v="Médecine"/>
    <n v="316"/>
    <n v="188"/>
    <n v="7.3"/>
    <s v="Activité normale"/>
  </r>
  <r>
    <n v="238"/>
    <x v="5"/>
    <s v="66"/>
    <n v="2026"/>
    <n v="4"/>
    <s v="Chirurgie"/>
    <n v="403"/>
    <n v="231"/>
    <n v="7.4"/>
    <s v="Activité normale"/>
  </r>
  <r>
    <n v="239"/>
    <x v="5"/>
    <s v="66"/>
    <n v="2026"/>
    <n v="4"/>
    <s v="Maternité"/>
    <n v="269"/>
    <n v="183"/>
    <n v="3.2"/>
    <s v="Activité normale"/>
  </r>
  <r>
    <n v="240"/>
    <x v="5"/>
    <s v="66"/>
    <n v="2026"/>
    <n v="4"/>
    <s v="Soins de réadaptation"/>
    <n v="575"/>
    <n v="428"/>
    <n v="7.3"/>
    <s v="Activité élevée"/>
  </r>
  <r>
    <n v="241"/>
    <x v="0"/>
    <s v="34"/>
    <n v="2026"/>
    <n v="5"/>
    <s v="Médecine"/>
    <n v="617"/>
    <n v="613"/>
    <n v="3.8"/>
    <s v="Activité élevée"/>
  </r>
  <r>
    <n v="242"/>
    <x v="0"/>
    <s v="34"/>
    <n v="2026"/>
    <n v="5"/>
    <s v="Chirurgie"/>
    <n v="182"/>
    <n v="115"/>
    <n v="3.9"/>
    <s v="Activité normale"/>
  </r>
  <r>
    <n v="243"/>
    <x v="0"/>
    <s v="34"/>
    <n v="2026"/>
    <n v="5"/>
    <s v="Maternité"/>
    <n v="449"/>
    <n v="269"/>
    <n v="3.9"/>
    <s v="Activité normale"/>
  </r>
  <r>
    <n v="244"/>
    <x v="0"/>
    <s v="34"/>
    <n v="2026"/>
    <n v="5"/>
    <s v="Soins de réadaptation"/>
    <n v="626"/>
    <n v="377"/>
    <n v="3.7"/>
    <s v="Activité élevée"/>
  </r>
  <r>
    <n v="245"/>
    <x v="1"/>
    <s v="34"/>
    <n v="2026"/>
    <n v="5"/>
    <s v="Médecine"/>
    <n v="135"/>
    <n v="104"/>
    <n v="7.1"/>
    <s v="Activité normale"/>
  </r>
  <r>
    <n v="246"/>
    <x v="1"/>
    <s v="34"/>
    <n v="2026"/>
    <n v="5"/>
    <s v="Chirurgie"/>
    <n v="209"/>
    <n v="185"/>
    <n v="8.4"/>
    <s v="Activité normale"/>
  </r>
  <r>
    <n v="247"/>
    <x v="1"/>
    <s v="34"/>
    <n v="2026"/>
    <n v="5"/>
    <s v="Maternité"/>
    <n v="582"/>
    <n v="343"/>
    <n v="8.5"/>
    <s v="Activité élevée"/>
  </r>
  <r>
    <n v="248"/>
    <x v="1"/>
    <s v="34"/>
    <n v="2026"/>
    <n v="5"/>
    <s v="Soins de réadaptation"/>
    <n v="371"/>
    <n v="305"/>
    <n v="5.3"/>
    <s v="Activité normale"/>
  </r>
  <r>
    <n v="249"/>
    <x v="2"/>
    <s v="31"/>
    <n v="2026"/>
    <n v="5"/>
    <s v="Médecine"/>
    <n v="428"/>
    <n v="261"/>
    <n v="9.1999999999999993"/>
    <s v="Activité normale"/>
  </r>
  <r>
    <n v="250"/>
    <x v="2"/>
    <s v="31"/>
    <n v="2026"/>
    <n v="5"/>
    <s v="Chirurgie"/>
    <n v="338"/>
    <n v="291"/>
    <n v="2.4"/>
    <s v="Activité normale"/>
  </r>
  <r>
    <n v="251"/>
    <x v="2"/>
    <s v="31"/>
    <n v="2026"/>
    <n v="5"/>
    <s v="Maternité"/>
    <n v="146"/>
    <n v="124"/>
    <n v="5.4"/>
    <s v="Activité normale"/>
  </r>
  <r>
    <n v="252"/>
    <x v="2"/>
    <s v="31"/>
    <n v="2026"/>
    <n v="5"/>
    <s v="Soins de réadaptation"/>
    <n v="134"/>
    <n v="86"/>
    <n v="2.7"/>
    <s v="Activité normale"/>
  </r>
  <r>
    <n v="253"/>
    <x v="3"/>
    <s v="31"/>
    <n v="2026"/>
    <n v="5"/>
    <s v="Médecine"/>
    <n v="391"/>
    <n v="216"/>
    <n v="9.5"/>
    <s v="Activité normale"/>
  </r>
  <r>
    <n v="254"/>
    <x v="3"/>
    <s v="31"/>
    <n v="2026"/>
    <n v="5"/>
    <s v="Chirurgie"/>
    <n v="201"/>
    <n v="171"/>
    <n v="7.6"/>
    <s v="Activité normale"/>
  </r>
  <r>
    <n v="255"/>
    <x v="3"/>
    <s v="31"/>
    <n v="2026"/>
    <n v="5"/>
    <s v="Maternité"/>
    <n v="311"/>
    <n v="288"/>
    <n v="4.5"/>
    <s v="Activité normale"/>
  </r>
  <r>
    <n v="256"/>
    <x v="3"/>
    <s v="31"/>
    <n v="2026"/>
    <n v="5"/>
    <s v="Soins de réadaptation"/>
    <n v="533"/>
    <n v="418"/>
    <n v="8.4"/>
    <s v="Activité élevée"/>
  </r>
  <r>
    <n v="257"/>
    <x v="4"/>
    <s v="30"/>
    <n v="2026"/>
    <n v="5"/>
    <s v="Médecine"/>
    <n v="519"/>
    <n v="415"/>
    <n v="6"/>
    <s v="Activité élevée"/>
  </r>
  <r>
    <n v="258"/>
    <x v="4"/>
    <s v="30"/>
    <n v="2026"/>
    <n v="5"/>
    <s v="Chirurgie"/>
    <n v="141"/>
    <n v="82"/>
    <n v="9.1"/>
    <s v="Activité normale"/>
  </r>
  <r>
    <n v="259"/>
    <x v="4"/>
    <s v="30"/>
    <n v="2026"/>
    <n v="5"/>
    <s v="Maternité"/>
    <n v="292"/>
    <n v="200"/>
    <n v="3.6"/>
    <s v="Activité normale"/>
  </r>
  <r>
    <n v="260"/>
    <x v="4"/>
    <s v="30"/>
    <n v="2026"/>
    <n v="5"/>
    <s v="Soins de réadaptation"/>
    <n v="163"/>
    <n v="101"/>
    <n v="3.4"/>
    <s v="Activité normale"/>
  </r>
  <r>
    <n v="261"/>
    <x v="5"/>
    <s v="66"/>
    <n v="2026"/>
    <n v="5"/>
    <s v="Médecine"/>
    <n v="645"/>
    <n v="360"/>
    <n v="2.8"/>
    <s v="Activité élevée"/>
  </r>
  <r>
    <n v="262"/>
    <x v="5"/>
    <s v="66"/>
    <n v="2026"/>
    <n v="5"/>
    <s v="Chirurgie"/>
    <n v="498"/>
    <n v="364"/>
    <n v="7"/>
    <s v="Activité normale"/>
  </r>
  <r>
    <n v="263"/>
    <x v="5"/>
    <s v="66"/>
    <n v="2026"/>
    <n v="5"/>
    <s v="Maternité"/>
    <n v="561"/>
    <n v="429"/>
    <n v="1.8"/>
    <s v="Activité élevée"/>
  </r>
  <r>
    <n v="264"/>
    <x v="5"/>
    <s v="66"/>
    <n v="2026"/>
    <n v="5"/>
    <s v="Soins de réadaptation"/>
    <n v="375"/>
    <n v="367"/>
    <n v="3.8"/>
    <s v="Activité normale"/>
  </r>
  <r>
    <n v="265"/>
    <x v="0"/>
    <s v="34"/>
    <n v="2026"/>
    <n v="6"/>
    <s v="Médecine"/>
    <n v="544"/>
    <n v="308"/>
    <n v="7"/>
    <s v="Activité élevée"/>
  </r>
  <r>
    <n v="266"/>
    <x v="0"/>
    <s v="34"/>
    <n v="2026"/>
    <n v="6"/>
    <s v="Chirurgie"/>
    <n v="350"/>
    <n v="335"/>
    <n v="6.2"/>
    <s v="Activité normale"/>
  </r>
  <r>
    <n v="267"/>
    <x v="0"/>
    <s v="34"/>
    <n v="2026"/>
    <n v="6"/>
    <s v="Maternité"/>
    <n v="282"/>
    <n v="249"/>
    <n v="2.4"/>
    <s v="Activité normale"/>
  </r>
  <r>
    <n v="268"/>
    <x v="0"/>
    <s v="34"/>
    <n v="2026"/>
    <n v="6"/>
    <s v="Soins de réadaptation"/>
    <n v="310"/>
    <n v="193"/>
    <n v="8.8000000000000007"/>
    <s v="Activité normale"/>
  </r>
  <r>
    <n v="269"/>
    <x v="1"/>
    <s v="34"/>
    <n v="2026"/>
    <n v="6"/>
    <s v="Médecine"/>
    <n v="225"/>
    <n v="121"/>
    <n v="2"/>
    <s v="Activité normale"/>
  </r>
  <r>
    <n v="270"/>
    <x v="1"/>
    <s v="34"/>
    <n v="2026"/>
    <n v="6"/>
    <s v="Chirurgie"/>
    <n v="394"/>
    <n v="349"/>
    <n v="7.5"/>
    <s v="Activité normale"/>
  </r>
  <r>
    <n v="271"/>
    <x v="1"/>
    <s v="34"/>
    <n v="2026"/>
    <n v="6"/>
    <s v="Maternité"/>
    <n v="375"/>
    <n v="299"/>
    <n v="2.5"/>
    <s v="Activité normale"/>
  </r>
  <r>
    <n v="272"/>
    <x v="1"/>
    <s v="34"/>
    <n v="2026"/>
    <n v="6"/>
    <s v="Soins de réadaptation"/>
    <n v="391"/>
    <n v="374"/>
    <n v="4.7"/>
    <s v="Activité normale"/>
  </r>
  <r>
    <n v="273"/>
    <x v="2"/>
    <s v="31"/>
    <n v="2026"/>
    <n v="6"/>
    <s v="Médecine"/>
    <n v="358"/>
    <n v="307"/>
    <n v="5.8"/>
    <s v="Activité normale"/>
  </r>
  <r>
    <n v="274"/>
    <x v="2"/>
    <s v="31"/>
    <n v="2026"/>
    <n v="6"/>
    <s v="Chirurgie"/>
    <n v="528"/>
    <n v="305"/>
    <n v="6.3"/>
    <s v="Activité élevée"/>
  </r>
  <r>
    <n v="275"/>
    <x v="2"/>
    <s v="31"/>
    <n v="2026"/>
    <n v="6"/>
    <s v="Maternité"/>
    <n v="522"/>
    <n v="426"/>
    <n v="6.3"/>
    <s v="Activité élevée"/>
  </r>
  <r>
    <n v="276"/>
    <x v="2"/>
    <s v="31"/>
    <n v="2026"/>
    <n v="6"/>
    <s v="Soins de réadaptation"/>
    <n v="106"/>
    <n v="58"/>
    <n v="3.3"/>
    <s v="Activité normale"/>
  </r>
  <r>
    <n v="277"/>
    <x v="3"/>
    <s v="31"/>
    <n v="2026"/>
    <n v="6"/>
    <s v="Médecine"/>
    <n v="101"/>
    <n v="98"/>
    <n v="6.9"/>
    <s v="Activité normale"/>
  </r>
  <r>
    <n v="278"/>
    <x v="3"/>
    <s v="31"/>
    <n v="2026"/>
    <n v="6"/>
    <s v="Chirurgie"/>
    <n v="355"/>
    <n v="324"/>
    <n v="1.8"/>
    <s v="Activité normale"/>
  </r>
  <r>
    <n v="279"/>
    <x v="3"/>
    <s v="31"/>
    <n v="2026"/>
    <n v="6"/>
    <s v="Maternité"/>
    <n v="259"/>
    <n v="249"/>
    <n v="5.7"/>
    <s v="Activité normale"/>
  </r>
  <r>
    <n v="280"/>
    <x v="3"/>
    <s v="31"/>
    <n v="2026"/>
    <n v="6"/>
    <s v="Soins de réadaptation"/>
    <n v="532"/>
    <n v="408"/>
    <n v="3"/>
    <s v="Activité élevée"/>
  </r>
  <r>
    <n v="281"/>
    <x v="4"/>
    <s v="30"/>
    <n v="2026"/>
    <n v="6"/>
    <s v="Médecine"/>
    <n v="526"/>
    <n v="514"/>
    <n v="9.3000000000000007"/>
    <s v="Activité élevée"/>
  </r>
  <r>
    <n v="282"/>
    <x v="4"/>
    <s v="30"/>
    <n v="2026"/>
    <n v="6"/>
    <s v="Chirurgie"/>
    <n v="561"/>
    <n v="458"/>
    <n v="4.8"/>
    <s v="Activité élevée"/>
  </r>
  <r>
    <n v="283"/>
    <x v="4"/>
    <s v="30"/>
    <n v="2026"/>
    <n v="6"/>
    <s v="Maternité"/>
    <n v="408"/>
    <n v="375"/>
    <n v="2.2999999999999998"/>
    <s v="Activité normale"/>
  </r>
  <r>
    <n v="284"/>
    <x v="4"/>
    <s v="30"/>
    <n v="2026"/>
    <n v="6"/>
    <s v="Soins de réadaptation"/>
    <n v="244"/>
    <n v="164"/>
    <n v="4.8"/>
    <s v="Activité normale"/>
  </r>
  <r>
    <n v="285"/>
    <x v="5"/>
    <s v="66"/>
    <n v="2026"/>
    <n v="6"/>
    <s v="Médecine"/>
    <n v="587"/>
    <n v="440"/>
    <n v="6.8"/>
    <s v="Activité élevée"/>
  </r>
  <r>
    <n v="286"/>
    <x v="5"/>
    <s v="66"/>
    <n v="2026"/>
    <n v="6"/>
    <s v="Chirurgie"/>
    <n v="490"/>
    <n v="453"/>
    <n v="7.6"/>
    <s v="Activité normale"/>
  </r>
  <r>
    <n v="287"/>
    <x v="5"/>
    <s v="66"/>
    <n v="2026"/>
    <n v="6"/>
    <s v="Maternité"/>
    <n v="117"/>
    <n v="87"/>
    <n v="2.2000000000000002"/>
    <s v="Activité normale"/>
  </r>
  <r>
    <n v="288"/>
    <x v="5"/>
    <s v="66"/>
    <n v="2026"/>
    <n v="6"/>
    <s v="Soins de réadaptation"/>
    <n v="338"/>
    <n v="251"/>
    <n v="2.4"/>
    <s v="Activité norma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n v="1"/>
    <x v="0"/>
    <x v="0"/>
    <x v="0"/>
    <x v="0"/>
    <x v="0"/>
    <n v="194"/>
    <n v="100"/>
    <n v="7.4"/>
  </r>
  <r>
    <n v="2"/>
    <x v="0"/>
    <x v="0"/>
    <x v="0"/>
    <x v="0"/>
    <x v="1"/>
    <n v="330"/>
    <n v="222"/>
    <n v="2.6"/>
  </r>
  <r>
    <n v="3"/>
    <x v="0"/>
    <x v="0"/>
    <x v="0"/>
    <x v="0"/>
    <x v="2"/>
    <n v="184"/>
    <n v="178"/>
    <n v="7.4"/>
  </r>
  <r>
    <n v="4"/>
    <x v="0"/>
    <x v="0"/>
    <x v="0"/>
    <x v="0"/>
    <x v="3"/>
    <n v="638"/>
    <n v="363"/>
    <n v="6.2"/>
  </r>
  <r>
    <n v="5"/>
    <x v="1"/>
    <x v="0"/>
    <x v="0"/>
    <x v="0"/>
    <x v="0"/>
    <n v="112"/>
    <n v="57"/>
    <n v="2.2000000000000002"/>
  </r>
  <r>
    <n v="6"/>
    <x v="1"/>
    <x v="0"/>
    <x v="0"/>
    <x v="0"/>
    <x v="1"/>
    <n v="318"/>
    <n v="288"/>
    <n v="6.3"/>
  </r>
  <r>
    <n v="7"/>
    <x v="1"/>
    <x v="0"/>
    <x v="0"/>
    <x v="0"/>
    <x v="2"/>
    <n v="283"/>
    <n v="280"/>
    <n v="4.9000000000000004"/>
  </r>
  <r>
    <n v="8"/>
    <x v="1"/>
    <x v="0"/>
    <x v="0"/>
    <x v="0"/>
    <x v="3"/>
    <n v="539"/>
    <n v="411"/>
    <n v="8"/>
  </r>
  <r>
    <n v="9"/>
    <x v="2"/>
    <x v="1"/>
    <x v="0"/>
    <x v="0"/>
    <x v="0"/>
    <n v="86"/>
    <n v="53"/>
    <n v="7.1"/>
  </r>
  <r>
    <n v="10"/>
    <x v="2"/>
    <x v="1"/>
    <x v="0"/>
    <x v="0"/>
    <x v="1"/>
    <n v="428"/>
    <n v="285"/>
    <n v="2.7"/>
  </r>
  <r>
    <n v="11"/>
    <x v="2"/>
    <x v="1"/>
    <x v="0"/>
    <x v="0"/>
    <x v="2"/>
    <n v="424"/>
    <n v="238"/>
    <n v="2.2000000000000002"/>
  </r>
  <r>
    <n v="12"/>
    <x v="2"/>
    <x v="1"/>
    <x v="0"/>
    <x v="0"/>
    <x v="3"/>
    <n v="179"/>
    <n v="134"/>
    <n v="8.3000000000000007"/>
  </r>
  <r>
    <n v="13"/>
    <x v="3"/>
    <x v="1"/>
    <x v="0"/>
    <x v="0"/>
    <x v="0"/>
    <n v="350"/>
    <n v="186"/>
    <n v="7.3"/>
  </r>
  <r>
    <n v="14"/>
    <x v="3"/>
    <x v="1"/>
    <x v="0"/>
    <x v="0"/>
    <x v="1"/>
    <n v="629"/>
    <n v="377"/>
    <n v="9.3000000000000007"/>
  </r>
  <r>
    <n v="15"/>
    <x v="3"/>
    <x v="1"/>
    <x v="0"/>
    <x v="0"/>
    <x v="2"/>
    <n v="467"/>
    <n v="253"/>
    <n v="5.9"/>
  </r>
  <r>
    <n v="16"/>
    <x v="3"/>
    <x v="1"/>
    <x v="0"/>
    <x v="0"/>
    <x v="3"/>
    <n v="450"/>
    <n v="372"/>
    <n v="3"/>
  </r>
  <r>
    <n v="17"/>
    <x v="4"/>
    <x v="2"/>
    <x v="0"/>
    <x v="0"/>
    <x v="0"/>
    <n v="151"/>
    <n v="80"/>
    <n v="6.8"/>
  </r>
  <r>
    <n v="18"/>
    <x v="4"/>
    <x v="2"/>
    <x v="0"/>
    <x v="0"/>
    <x v="1"/>
    <n v="376"/>
    <n v="208"/>
    <n v="8.3000000000000007"/>
  </r>
  <r>
    <n v="19"/>
    <x v="4"/>
    <x v="2"/>
    <x v="0"/>
    <x v="0"/>
    <x v="2"/>
    <n v="183"/>
    <n v="139"/>
    <n v="3.7"/>
  </r>
  <r>
    <n v="20"/>
    <x v="4"/>
    <x v="2"/>
    <x v="0"/>
    <x v="0"/>
    <x v="3"/>
    <n v="453"/>
    <n v="267"/>
    <n v="4.5"/>
  </r>
  <r>
    <n v="21"/>
    <x v="5"/>
    <x v="3"/>
    <x v="0"/>
    <x v="0"/>
    <x v="0"/>
    <n v="294"/>
    <n v="215"/>
    <n v="7.1"/>
  </r>
  <r>
    <n v="22"/>
    <x v="5"/>
    <x v="3"/>
    <x v="0"/>
    <x v="0"/>
    <x v="1"/>
    <n v="153"/>
    <n v="153"/>
    <n v="6.6"/>
  </r>
  <r>
    <n v="23"/>
    <x v="5"/>
    <x v="3"/>
    <x v="0"/>
    <x v="0"/>
    <x v="2"/>
    <n v="626"/>
    <n v="438"/>
    <n v="2.8"/>
  </r>
  <r>
    <n v="24"/>
    <x v="5"/>
    <x v="3"/>
    <x v="0"/>
    <x v="0"/>
    <x v="3"/>
    <n v="468"/>
    <n v="303"/>
    <n v="9.4"/>
  </r>
  <r>
    <n v="25"/>
    <x v="0"/>
    <x v="0"/>
    <x v="0"/>
    <x v="1"/>
    <x v="0"/>
    <n v="650"/>
    <n v="437"/>
    <n v="7"/>
  </r>
  <r>
    <n v="26"/>
    <x v="0"/>
    <x v="0"/>
    <x v="0"/>
    <x v="1"/>
    <x v="1"/>
    <n v="137"/>
    <n v="97"/>
    <n v="8.1"/>
  </r>
  <r>
    <n v="27"/>
    <x v="0"/>
    <x v="0"/>
    <x v="0"/>
    <x v="1"/>
    <x v="2"/>
    <n v="403"/>
    <n v="303"/>
    <n v="3.6"/>
  </r>
  <r>
    <n v="28"/>
    <x v="0"/>
    <x v="0"/>
    <x v="0"/>
    <x v="1"/>
    <x v="3"/>
    <n v="296"/>
    <n v="293"/>
    <n v="8.5"/>
  </r>
  <r>
    <n v="29"/>
    <x v="1"/>
    <x v="0"/>
    <x v="0"/>
    <x v="1"/>
    <x v="0"/>
    <n v="402"/>
    <n v="255"/>
    <n v="6.7"/>
  </r>
  <r>
    <n v="30"/>
    <x v="1"/>
    <x v="0"/>
    <x v="0"/>
    <x v="1"/>
    <x v="1"/>
    <n v="485"/>
    <n v="468"/>
    <n v="8.8000000000000007"/>
  </r>
  <r>
    <n v="31"/>
    <x v="1"/>
    <x v="0"/>
    <x v="0"/>
    <x v="1"/>
    <x v="2"/>
    <n v="549"/>
    <n v="347"/>
    <n v="3.6"/>
  </r>
  <r>
    <n v="32"/>
    <x v="1"/>
    <x v="0"/>
    <x v="0"/>
    <x v="1"/>
    <x v="3"/>
    <n v="332"/>
    <n v="309"/>
    <n v="5.8"/>
  </r>
  <r>
    <n v="33"/>
    <x v="2"/>
    <x v="1"/>
    <x v="0"/>
    <x v="1"/>
    <x v="0"/>
    <n v="518"/>
    <n v="463"/>
    <n v="4.4000000000000004"/>
  </r>
  <r>
    <n v="34"/>
    <x v="2"/>
    <x v="1"/>
    <x v="0"/>
    <x v="1"/>
    <x v="1"/>
    <n v="221"/>
    <n v="175"/>
    <n v="5.4"/>
  </r>
  <r>
    <n v="35"/>
    <x v="2"/>
    <x v="1"/>
    <x v="0"/>
    <x v="1"/>
    <x v="2"/>
    <n v="128"/>
    <n v="78"/>
    <n v="2.7"/>
  </r>
  <r>
    <n v="36"/>
    <x v="2"/>
    <x v="1"/>
    <x v="0"/>
    <x v="1"/>
    <x v="3"/>
    <n v="243"/>
    <n v="222"/>
    <n v="6.9"/>
  </r>
  <r>
    <n v="37"/>
    <x v="3"/>
    <x v="1"/>
    <x v="0"/>
    <x v="1"/>
    <x v="0"/>
    <n v="145"/>
    <n v="121"/>
    <n v="4.5999999999999996"/>
  </r>
  <r>
    <n v="38"/>
    <x v="3"/>
    <x v="1"/>
    <x v="0"/>
    <x v="1"/>
    <x v="1"/>
    <n v="559"/>
    <n v="549"/>
    <n v="3.5"/>
  </r>
  <r>
    <n v="39"/>
    <x v="3"/>
    <x v="1"/>
    <x v="0"/>
    <x v="1"/>
    <x v="2"/>
    <n v="646"/>
    <n v="328"/>
    <n v="6.9"/>
  </r>
  <r>
    <n v="40"/>
    <x v="3"/>
    <x v="1"/>
    <x v="0"/>
    <x v="1"/>
    <x v="3"/>
    <n v="197"/>
    <n v="185"/>
    <n v="8.6"/>
  </r>
  <r>
    <n v="41"/>
    <x v="4"/>
    <x v="2"/>
    <x v="0"/>
    <x v="1"/>
    <x v="0"/>
    <n v="353"/>
    <n v="340"/>
    <n v="4.2"/>
  </r>
  <r>
    <n v="42"/>
    <x v="4"/>
    <x v="2"/>
    <x v="0"/>
    <x v="1"/>
    <x v="1"/>
    <n v="380"/>
    <n v="301"/>
    <n v="2.8"/>
  </r>
  <r>
    <n v="43"/>
    <x v="4"/>
    <x v="2"/>
    <x v="0"/>
    <x v="1"/>
    <x v="2"/>
    <n v="83"/>
    <n v="57"/>
    <n v="9.3000000000000007"/>
  </r>
  <r>
    <n v="44"/>
    <x v="4"/>
    <x v="2"/>
    <x v="0"/>
    <x v="1"/>
    <x v="3"/>
    <n v="262"/>
    <n v="260"/>
    <n v="8.8000000000000007"/>
  </r>
  <r>
    <n v="45"/>
    <x v="5"/>
    <x v="3"/>
    <x v="0"/>
    <x v="1"/>
    <x v="0"/>
    <n v="385"/>
    <n v="355"/>
    <n v="5.6"/>
  </r>
  <r>
    <n v="46"/>
    <x v="5"/>
    <x v="3"/>
    <x v="0"/>
    <x v="1"/>
    <x v="1"/>
    <n v="283"/>
    <n v="180"/>
    <n v="4.5"/>
  </r>
  <r>
    <n v="47"/>
    <x v="5"/>
    <x v="3"/>
    <x v="0"/>
    <x v="1"/>
    <x v="2"/>
    <n v="245"/>
    <n v="191"/>
    <n v="9.1"/>
  </r>
  <r>
    <n v="48"/>
    <x v="5"/>
    <x v="3"/>
    <x v="0"/>
    <x v="1"/>
    <x v="3"/>
    <n v="623"/>
    <n v="311"/>
    <n v="6.3"/>
  </r>
  <r>
    <n v="49"/>
    <x v="0"/>
    <x v="0"/>
    <x v="0"/>
    <x v="2"/>
    <x v="0"/>
    <n v="580"/>
    <n v="299"/>
    <n v="2.4"/>
  </r>
  <r>
    <n v="50"/>
    <x v="0"/>
    <x v="0"/>
    <x v="0"/>
    <x v="2"/>
    <x v="1"/>
    <n v="451"/>
    <n v="449"/>
    <n v="9.4"/>
  </r>
  <r>
    <n v="51"/>
    <x v="0"/>
    <x v="0"/>
    <x v="0"/>
    <x v="2"/>
    <x v="2"/>
    <n v="394"/>
    <n v="258"/>
    <n v="2"/>
  </r>
  <r>
    <n v="52"/>
    <x v="0"/>
    <x v="0"/>
    <x v="0"/>
    <x v="2"/>
    <x v="3"/>
    <n v="160"/>
    <n v="90"/>
    <n v="7.4"/>
  </r>
  <r>
    <n v="53"/>
    <x v="1"/>
    <x v="0"/>
    <x v="0"/>
    <x v="2"/>
    <x v="0"/>
    <n v="150"/>
    <n v="143"/>
    <n v="7.6"/>
  </r>
  <r>
    <n v="54"/>
    <x v="1"/>
    <x v="0"/>
    <x v="0"/>
    <x v="2"/>
    <x v="1"/>
    <n v="211"/>
    <n v="189"/>
    <n v="5.3"/>
  </r>
  <r>
    <n v="55"/>
    <x v="1"/>
    <x v="0"/>
    <x v="0"/>
    <x v="2"/>
    <x v="2"/>
    <n v="642"/>
    <n v="405"/>
    <n v="3.6"/>
  </r>
  <r>
    <n v="56"/>
    <x v="1"/>
    <x v="0"/>
    <x v="0"/>
    <x v="2"/>
    <x v="3"/>
    <n v="513"/>
    <n v="364"/>
    <n v="8.9"/>
  </r>
  <r>
    <n v="57"/>
    <x v="2"/>
    <x v="1"/>
    <x v="0"/>
    <x v="2"/>
    <x v="0"/>
    <n v="285"/>
    <n v="221"/>
    <n v="4.7"/>
  </r>
  <r>
    <n v="58"/>
    <x v="2"/>
    <x v="1"/>
    <x v="0"/>
    <x v="2"/>
    <x v="1"/>
    <n v="462"/>
    <n v="343"/>
    <n v="8.6999999999999993"/>
  </r>
  <r>
    <n v="59"/>
    <x v="2"/>
    <x v="1"/>
    <x v="0"/>
    <x v="2"/>
    <x v="2"/>
    <n v="542"/>
    <n v="332"/>
    <n v="3.5"/>
  </r>
  <r>
    <n v="60"/>
    <x v="2"/>
    <x v="1"/>
    <x v="0"/>
    <x v="2"/>
    <x v="3"/>
    <n v="145"/>
    <n v="115"/>
    <n v="1.7"/>
  </r>
  <r>
    <n v="61"/>
    <x v="3"/>
    <x v="1"/>
    <x v="0"/>
    <x v="2"/>
    <x v="0"/>
    <n v="647"/>
    <n v="440"/>
    <n v="6.2"/>
  </r>
  <r>
    <n v="62"/>
    <x v="3"/>
    <x v="1"/>
    <x v="0"/>
    <x v="2"/>
    <x v="1"/>
    <n v="87"/>
    <n v="47"/>
    <n v="7.2"/>
  </r>
  <r>
    <n v="63"/>
    <x v="3"/>
    <x v="1"/>
    <x v="0"/>
    <x v="2"/>
    <x v="2"/>
    <n v="140"/>
    <n v="99"/>
    <n v="2"/>
  </r>
  <r>
    <n v="64"/>
    <x v="3"/>
    <x v="1"/>
    <x v="0"/>
    <x v="2"/>
    <x v="3"/>
    <n v="112"/>
    <n v="111"/>
    <n v="4.0999999999999996"/>
  </r>
  <r>
    <n v="65"/>
    <x v="4"/>
    <x v="2"/>
    <x v="0"/>
    <x v="2"/>
    <x v="0"/>
    <n v="606"/>
    <n v="424"/>
    <n v="3.7"/>
  </r>
  <r>
    <n v="66"/>
    <x v="4"/>
    <x v="2"/>
    <x v="0"/>
    <x v="2"/>
    <x v="1"/>
    <n v="577"/>
    <n v="397"/>
    <n v="5.8"/>
  </r>
  <r>
    <n v="67"/>
    <x v="4"/>
    <x v="2"/>
    <x v="0"/>
    <x v="2"/>
    <x v="2"/>
    <n v="564"/>
    <n v="406"/>
    <n v="7.8"/>
  </r>
  <r>
    <n v="68"/>
    <x v="4"/>
    <x v="2"/>
    <x v="0"/>
    <x v="2"/>
    <x v="3"/>
    <n v="496"/>
    <n v="296"/>
    <n v="2.2999999999999998"/>
  </r>
  <r>
    <n v="69"/>
    <x v="5"/>
    <x v="3"/>
    <x v="0"/>
    <x v="2"/>
    <x v="0"/>
    <n v="521"/>
    <n v="441"/>
    <n v="4.9000000000000004"/>
  </r>
  <r>
    <n v="70"/>
    <x v="5"/>
    <x v="3"/>
    <x v="0"/>
    <x v="2"/>
    <x v="1"/>
    <n v="558"/>
    <n v="306"/>
    <n v="6.9"/>
  </r>
  <r>
    <n v="71"/>
    <x v="5"/>
    <x v="3"/>
    <x v="0"/>
    <x v="2"/>
    <x v="2"/>
    <n v="180"/>
    <n v="97"/>
    <n v="4.7"/>
  </r>
  <r>
    <n v="72"/>
    <x v="5"/>
    <x v="3"/>
    <x v="0"/>
    <x v="2"/>
    <x v="3"/>
    <n v="427"/>
    <n v="417"/>
    <n v="8.4"/>
  </r>
  <r>
    <n v="73"/>
    <x v="0"/>
    <x v="0"/>
    <x v="0"/>
    <x v="3"/>
    <x v="0"/>
    <n v="334"/>
    <n v="216"/>
    <n v="3"/>
  </r>
  <r>
    <n v="74"/>
    <x v="0"/>
    <x v="0"/>
    <x v="0"/>
    <x v="3"/>
    <x v="1"/>
    <n v="539"/>
    <n v="340"/>
    <n v="4.9000000000000004"/>
  </r>
  <r>
    <n v="75"/>
    <x v="0"/>
    <x v="0"/>
    <x v="0"/>
    <x v="3"/>
    <x v="2"/>
    <n v="365"/>
    <n v="300"/>
    <n v="3.5"/>
  </r>
  <r>
    <n v="76"/>
    <x v="0"/>
    <x v="0"/>
    <x v="0"/>
    <x v="3"/>
    <x v="3"/>
    <n v="157"/>
    <n v="134"/>
    <n v="8"/>
  </r>
  <r>
    <n v="77"/>
    <x v="1"/>
    <x v="0"/>
    <x v="0"/>
    <x v="3"/>
    <x v="0"/>
    <n v="643"/>
    <n v="371"/>
    <n v="1.9"/>
  </r>
  <r>
    <n v="78"/>
    <x v="1"/>
    <x v="0"/>
    <x v="0"/>
    <x v="3"/>
    <x v="1"/>
    <n v="633"/>
    <n v="323"/>
    <n v="9.3000000000000007"/>
  </r>
  <r>
    <n v="79"/>
    <x v="1"/>
    <x v="0"/>
    <x v="0"/>
    <x v="3"/>
    <x v="2"/>
    <n v="322"/>
    <n v="203"/>
    <n v="4.8"/>
  </r>
  <r>
    <n v="80"/>
    <x v="1"/>
    <x v="0"/>
    <x v="0"/>
    <x v="3"/>
    <x v="3"/>
    <n v="572"/>
    <n v="395"/>
    <n v="8.4"/>
  </r>
  <r>
    <n v="81"/>
    <x v="2"/>
    <x v="1"/>
    <x v="0"/>
    <x v="3"/>
    <x v="0"/>
    <n v="140"/>
    <n v="91"/>
    <n v="4.5"/>
  </r>
  <r>
    <n v="82"/>
    <x v="2"/>
    <x v="1"/>
    <x v="0"/>
    <x v="3"/>
    <x v="1"/>
    <n v="479"/>
    <n v="306"/>
    <n v="8.9"/>
  </r>
  <r>
    <n v="83"/>
    <x v="2"/>
    <x v="1"/>
    <x v="0"/>
    <x v="3"/>
    <x v="2"/>
    <n v="545"/>
    <n v="418"/>
    <n v="4.9000000000000004"/>
  </r>
  <r>
    <n v="84"/>
    <x v="2"/>
    <x v="1"/>
    <x v="0"/>
    <x v="3"/>
    <x v="3"/>
    <n v="649"/>
    <n v="573"/>
    <n v="2.7"/>
  </r>
  <r>
    <n v="85"/>
    <x v="3"/>
    <x v="1"/>
    <x v="0"/>
    <x v="3"/>
    <x v="0"/>
    <n v="383"/>
    <n v="246"/>
    <n v="9.1999999999999993"/>
  </r>
  <r>
    <n v="86"/>
    <x v="3"/>
    <x v="1"/>
    <x v="0"/>
    <x v="3"/>
    <x v="1"/>
    <n v="635"/>
    <n v="348"/>
    <n v="7.5"/>
  </r>
  <r>
    <n v="87"/>
    <x v="3"/>
    <x v="1"/>
    <x v="0"/>
    <x v="3"/>
    <x v="2"/>
    <n v="138"/>
    <n v="75"/>
    <n v="6.2"/>
  </r>
  <r>
    <n v="88"/>
    <x v="3"/>
    <x v="1"/>
    <x v="0"/>
    <x v="3"/>
    <x v="3"/>
    <n v="594"/>
    <n v="568"/>
    <n v="2.8"/>
  </r>
  <r>
    <n v="89"/>
    <x v="4"/>
    <x v="2"/>
    <x v="0"/>
    <x v="3"/>
    <x v="0"/>
    <n v="600"/>
    <n v="341"/>
    <n v="8.3000000000000007"/>
  </r>
  <r>
    <n v="90"/>
    <x v="4"/>
    <x v="2"/>
    <x v="0"/>
    <x v="3"/>
    <x v="1"/>
    <n v="150"/>
    <n v="83"/>
    <n v="6.9"/>
  </r>
  <r>
    <n v="91"/>
    <x v="4"/>
    <x v="2"/>
    <x v="0"/>
    <x v="3"/>
    <x v="2"/>
    <n v="320"/>
    <n v="263"/>
    <n v="2.5"/>
  </r>
  <r>
    <n v="92"/>
    <x v="4"/>
    <x v="2"/>
    <x v="0"/>
    <x v="3"/>
    <x v="3"/>
    <n v="332"/>
    <n v="314"/>
    <n v="6.3"/>
  </r>
  <r>
    <n v="93"/>
    <x v="5"/>
    <x v="3"/>
    <x v="0"/>
    <x v="3"/>
    <x v="0"/>
    <n v="163"/>
    <n v="134"/>
    <n v="6.8"/>
  </r>
  <r>
    <n v="94"/>
    <x v="5"/>
    <x v="3"/>
    <x v="0"/>
    <x v="3"/>
    <x v="1"/>
    <n v="615"/>
    <n v="468"/>
    <n v="9"/>
  </r>
  <r>
    <n v="95"/>
    <x v="5"/>
    <x v="3"/>
    <x v="0"/>
    <x v="3"/>
    <x v="2"/>
    <n v="289"/>
    <n v="224"/>
    <n v="3.4"/>
  </r>
  <r>
    <n v="96"/>
    <x v="5"/>
    <x v="3"/>
    <x v="0"/>
    <x v="3"/>
    <x v="3"/>
    <n v="485"/>
    <n v="275"/>
    <n v="6.9"/>
  </r>
  <r>
    <n v="97"/>
    <x v="0"/>
    <x v="0"/>
    <x v="0"/>
    <x v="4"/>
    <x v="0"/>
    <n v="387"/>
    <n v="310"/>
    <n v="4"/>
  </r>
  <r>
    <n v="98"/>
    <x v="0"/>
    <x v="0"/>
    <x v="0"/>
    <x v="4"/>
    <x v="1"/>
    <n v="154"/>
    <n v="78"/>
    <n v="5.2"/>
  </r>
  <r>
    <n v="99"/>
    <x v="0"/>
    <x v="0"/>
    <x v="0"/>
    <x v="4"/>
    <x v="2"/>
    <n v="182"/>
    <n v="100"/>
    <n v="5.8"/>
  </r>
  <r>
    <n v="100"/>
    <x v="0"/>
    <x v="0"/>
    <x v="0"/>
    <x v="4"/>
    <x v="3"/>
    <n v="598"/>
    <n v="434"/>
    <n v="2.6"/>
  </r>
  <r>
    <n v="101"/>
    <x v="1"/>
    <x v="0"/>
    <x v="0"/>
    <x v="4"/>
    <x v="0"/>
    <n v="437"/>
    <n v="235"/>
    <n v="8.5"/>
  </r>
  <r>
    <n v="102"/>
    <x v="1"/>
    <x v="0"/>
    <x v="0"/>
    <x v="4"/>
    <x v="1"/>
    <n v="458"/>
    <n v="301"/>
    <n v="2.8"/>
  </r>
  <r>
    <n v="103"/>
    <x v="1"/>
    <x v="0"/>
    <x v="0"/>
    <x v="4"/>
    <x v="2"/>
    <n v="636"/>
    <n v="472"/>
    <n v="6.4"/>
  </r>
  <r>
    <n v="104"/>
    <x v="1"/>
    <x v="0"/>
    <x v="0"/>
    <x v="4"/>
    <x v="3"/>
    <n v="621"/>
    <n v="314"/>
    <n v="6.8"/>
  </r>
  <r>
    <n v="105"/>
    <x v="2"/>
    <x v="1"/>
    <x v="0"/>
    <x v="4"/>
    <x v="0"/>
    <n v="647"/>
    <n v="476"/>
    <n v="9"/>
  </r>
  <r>
    <n v="106"/>
    <x v="2"/>
    <x v="1"/>
    <x v="0"/>
    <x v="4"/>
    <x v="1"/>
    <n v="186"/>
    <n v="110"/>
    <n v="3.6"/>
  </r>
  <r>
    <n v="107"/>
    <x v="2"/>
    <x v="1"/>
    <x v="0"/>
    <x v="4"/>
    <x v="2"/>
    <n v="189"/>
    <n v="189"/>
    <n v="5.9"/>
  </r>
  <r>
    <n v="108"/>
    <x v="2"/>
    <x v="1"/>
    <x v="0"/>
    <x v="4"/>
    <x v="3"/>
    <n v="358"/>
    <n v="251"/>
    <n v="6.3"/>
  </r>
  <r>
    <n v="109"/>
    <x v="3"/>
    <x v="1"/>
    <x v="0"/>
    <x v="4"/>
    <x v="0"/>
    <n v="431"/>
    <n v="267"/>
    <n v="7"/>
  </r>
  <r>
    <n v="110"/>
    <x v="3"/>
    <x v="1"/>
    <x v="0"/>
    <x v="4"/>
    <x v="1"/>
    <n v="350"/>
    <n v="304"/>
    <n v="5.4"/>
  </r>
  <r>
    <n v="111"/>
    <x v="3"/>
    <x v="1"/>
    <x v="0"/>
    <x v="4"/>
    <x v="2"/>
    <n v="132"/>
    <n v="77"/>
    <n v="6.6"/>
  </r>
  <r>
    <n v="112"/>
    <x v="3"/>
    <x v="1"/>
    <x v="0"/>
    <x v="4"/>
    <x v="3"/>
    <n v="363"/>
    <n v="192"/>
    <n v="1.5"/>
  </r>
  <r>
    <n v="113"/>
    <x v="4"/>
    <x v="2"/>
    <x v="0"/>
    <x v="4"/>
    <x v="0"/>
    <n v="213"/>
    <n v="187"/>
    <n v="9.3000000000000007"/>
  </r>
  <r>
    <n v="114"/>
    <x v="4"/>
    <x v="2"/>
    <x v="0"/>
    <x v="4"/>
    <x v="1"/>
    <n v="245"/>
    <n v="216"/>
    <n v="5"/>
  </r>
  <r>
    <n v="115"/>
    <x v="4"/>
    <x v="2"/>
    <x v="0"/>
    <x v="4"/>
    <x v="2"/>
    <n v="517"/>
    <n v="262"/>
    <n v="2.4"/>
  </r>
  <r>
    <n v="116"/>
    <x v="4"/>
    <x v="2"/>
    <x v="0"/>
    <x v="4"/>
    <x v="3"/>
    <n v="232"/>
    <n v="185"/>
    <n v="1.8"/>
  </r>
  <r>
    <n v="117"/>
    <x v="5"/>
    <x v="3"/>
    <x v="0"/>
    <x v="4"/>
    <x v="0"/>
    <n v="458"/>
    <n v="378"/>
    <n v="5.9"/>
  </r>
  <r>
    <n v="118"/>
    <x v="5"/>
    <x v="3"/>
    <x v="0"/>
    <x v="4"/>
    <x v="1"/>
    <n v="520"/>
    <n v="325"/>
    <n v="1.8"/>
  </r>
  <r>
    <n v="119"/>
    <x v="5"/>
    <x v="3"/>
    <x v="0"/>
    <x v="4"/>
    <x v="2"/>
    <n v="453"/>
    <n v="429"/>
    <n v="9.3000000000000007"/>
  </r>
  <r>
    <n v="120"/>
    <x v="5"/>
    <x v="3"/>
    <x v="0"/>
    <x v="4"/>
    <x v="3"/>
    <n v="120"/>
    <n v="117"/>
    <n v="4.4000000000000004"/>
  </r>
  <r>
    <n v="121"/>
    <x v="0"/>
    <x v="0"/>
    <x v="0"/>
    <x v="5"/>
    <x v="0"/>
    <n v="335"/>
    <n v="193"/>
    <n v="4.3"/>
  </r>
  <r>
    <n v="122"/>
    <x v="0"/>
    <x v="0"/>
    <x v="0"/>
    <x v="5"/>
    <x v="1"/>
    <n v="496"/>
    <n v="406"/>
    <n v="7.5"/>
  </r>
  <r>
    <n v="123"/>
    <x v="0"/>
    <x v="0"/>
    <x v="0"/>
    <x v="5"/>
    <x v="2"/>
    <n v="322"/>
    <n v="202"/>
    <n v="9.3000000000000007"/>
  </r>
  <r>
    <n v="124"/>
    <x v="0"/>
    <x v="0"/>
    <x v="0"/>
    <x v="5"/>
    <x v="3"/>
    <n v="261"/>
    <n v="235"/>
    <n v="1.7"/>
  </r>
  <r>
    <n v="125"/>
    <x v="1"/>
    <x v="0"/>
    <x v="0"/>
    <x v="5"/>
    <x v="0"/>
    <n v="420"/>
    <n v="410"/>
    <n v="8.9"/>
  </r>
  <r>
    <n v="126"/>
    <x v="1"/>
    <x v="0"/>
    <x v="0"/>
    <x v="5"/>
    <x v="1"/>
    <n v="334"/>
    <n v="235"/>
    <n v="2.8"/>
  </r>
  <r>
    <n v="127"/>
    <x v="1"/>
    <x v="0"/>
    <x v="0"/>
    <x v="5"/>
    <x v="2"/>
    <n v="190"/>
    <n v="143"/>
    <n v="8.5"/>
  </r>
  <r>
    <n v="128"/>
    <x v="1"/>
    <x v="0"/>
    <x v="0"/>
    <x v="5"/>
    <x v="3"/>
    <n v="561"/>
    <n v="393"/>
    <n v="3.1"/>
  </r>
  <r>
    <n v="129"/>
    <x v="2"/>
    <x v="1"/>
    <x v="0"/>
    <x v="5"/>
    <x v="0"/>
    <n v="551"/>
    <n v="454"/>
    <n v="3.9"/>
  </r>
  <r>
    <n v="130"/>
    <x v="2"/>
    <x v="1"/>
    <x v="0"/>
    <x v="5"/>
    <x v="1"/>
    <n v="313"/>
    <n v="213"/>
    <n v="1.7"/>
  </r>
  <r>
    <n v="131"/>
    <x v="2"/>
    <x v="1"/>
    <x v="0"/>
    <x v="5"/>
    <x v="2"/>
    <n v="277"/>
    <n v="240"/>
    <n v="4.0999999999999996"/>
  </r>
  <r>
    <n v="132"/>
    <x v="2"/>
    <x v="1"/>
    <x v="0"/>
    <x v="5"/>
    <x v="3"/>
    <n v="151"/>
    <n v="110"/>
    <n v="4.3"/>
  </r>
  <r>
    <n v="133"/>
    <x v="3"/>
    <x v="1"/>
    <x v="0"/>
    <x v="5"/>
    <x v="0"/>
    <n v="601"/>
    <n v="504"/>
    <n v="6.9"/>
  </r>
  <r>
    <n v="134"/>
    <x v="3"/>
    <x v="1"/>
    <x v="0"/>
    <x v="5"/>
    <x v="1"/>
    <n v="629"/>
    <n v="483"/>
    <n v="9"/>
  </r>
  <r>
    <n v="135"/>
    <x v="3"/>
    <x v="1"/>
    <x v="0"/>
    <x v="5"/>
    <x v="2"/>
    <n v="198"/>
    <n v="132"/>
    <n v="2.9"/>
  </r>
  <r>
    <n v="136"/>
    <x v="3"/>
    <x v="1"/>
    <x v="0"/>
    <x v="5"/>
    <x v="3"/>
    <n v="351"/>
    <n v="184"/>
    <n v="2.4"/>
  </r>
  <r>
    <n v="137"/>
    <x v="4"/>
    <x v="2"/>
    <x v="0"/>
    <x v="5"/>
    <x v="0"/>
    <n v="524"/>
    <n v="438"/>
    <n v="7.3"/>
  </r>
  <r>
    <n v="138"/>
    <x v="4"/>
    <x v="2"/>
    <x v="0"/>
    <x v="5"/>
    <x v="1"/>
    <n v="401"/>
    <n v="311"/>
    <n v="6.3"/>
  </r>
  <r>
    <n v="139"/>
    <x v="4"/>
    <x v="2"/>
    <x v="0"/>
    <x v="5"/>
    <x v="2"/>
    <n v="603"/>
    <n v="360"/>
    <n v="4.5999999999999996"/>
  </r>
  <r>
    <n v="140"/>
    <x v="4"/>
    <x v="2"/>
    <x v="0"/>
    <x v="5"/>
    <x v="3"/>
    <n v="274"/>
    <n v="202"/>
    <n v="1.9"/>
  </r>
  <r>
    <n v="141"/>
    <x v="5"/>
    <x v="3"/>
    <x v="0"/>
    <x v="5"/>
    <x v="0"/>
    <n v="526"/>
    <n v="263"/>
    <n v="5.7"/>
  </r>
  <r>
    <n v="142"/>
    <x v="5"/>
    <x v="3"/>
    <x v="0"/>
    <x v="5"/>
    <x v="1"/>
    <n v="631"/>
    <n v="415"/>
    <n v="4.4000000000000004"/>
  </r>
  <r>
    <n v="143"/>
    <x v="5"/>
    <x v="3"/>
    <x v="0"/>
    <x v="5"/>
    <x v="2"/>
    <n v="151"/>
    <n v="117"/>
    <n v="6.5"/>
  </r>
  <r>
    <n v="144"/>
    <x v="5"/>
    <x v="3"/>
    <x v="0"/>
    <x v="5"/>
    <x v="3"/>
    <n v="207"/>
    <n v="195"/>
    <n v="8.6999999999999993"/>
  </r>
  <r>
    <n v="145"/>
    <x v="0"/>
    <x v="0"/>
    <x v="1"/>
    <x v="0"/>
    <x v="0"/>
    <n v="599"/>
    <n v="457"/>
    <n v="6.8"/>
  </r>
  <r>
    <n v="146"/>
    <x v="0"/>
    <x v="0"/>
    <x v="1"/>
    <x v="0"/>
    <x v="1"/>
    <n v="414"/>
    <n v="310"/>
    <n v="7.1"/>
  </r>
  <r>
    <n v="147"/>
    <x v="0"/>
    <x v="0"/>
    <x v="1"/>
    <x v="0"/>
    <x v="2"/>
    <n v="647"/>
    <n v="388"/>
    <n v="3"/>
  </r>
  <r>
    <n v="148"/>
    <x v="0"/>
    <x v="0"/>
    <x v="1"/>
    <x v="0"/>
    <x v="3"/>
    <n v="468"/>
    <n v="407"/>
    <n v="7.5"/>
  </r>
  <r>
    <n v="149"/>
    <x v="1"/>
    <x v="0"/>
    <x v="1"/>
    <x v="0"/>
    <x v="0"/>
    <n v="258"/>
    <n v="206"/>
    <n v="4.7"/>
  </r>
  <r>
    <n v="150"/>
    <x v="1"/>
    <x v="0"/>
    <x v="1"/>
    <x v="0"/>
    <x v="1"/>
    <n v="80"/>
    <n v="59"/>
    <n v="3.8"/>
  </r>
  <r>
    <n v="151"/>
    <x v="1"/>
    <x v="0"/>
    <x v="1"/>
    <x v="0"/>
    <x v="2"/>
    <n v="520"/>
    <n v="424"/>
    <n v="5.2"/>
  </r>
  <r>
    <n v="152"/>
    <x v="1"/>
    <x v="0"/>
    <x v="1"/>
    <x v="0"/>
    <x v="3"/>
    <n v="532"/>
    <n v="375"/>
    <n v="5.6"/>
  </r>
  <r>
    <n v="153"/>
    <x v="2"/>
    <x v="1"/>
    <x v="1"/>
    <x v="0"/>
    <x v="0"/>
    <n v="253"/>
    <n v="147"/>
    <n v="3.8"/>
  </r>
  <r>
    <n v="154"/>
    <x v="2"/>
    <x v="1"/>
    <x v="1"/>
    <x v="0"/>
    <x v="1"/>
    <n v="423"/>
    <n v="234"/>
    <n v="8"/>
  </r>
  <r>
    <n v="155"/>
    <x v="2"/>
    <x v="1"/>
    <x v="1"/>
    <x v="0"/>
    <x v="2"/>
    <n v="320"/>
    <n v="239"/>
    <n v="3.3"/>
  </r>
  <r>
    <n v="156"/>
    <x v="2"/>
    <x v="1"/>
    <x v="1"/>
    <x v="0"/>
    <x v="3"/>
    <n v="283"/>
    <n v="178"/>
    <n v="1.7"/>
  </r>
  <r>
    <n v="157"/>
    <x v="3"/>
    <x v="1"/>
    <x v="1"/>
    <x v="0"/>
    <x v="0"/>
    <n v="330"/>
    <n v="286"/>
    <n v="6.4"/>
  </r>
  <r>
    <n v="158"/>
    <x v="3"/>
    <x v="1"/>
    <x v="1"/>
    <x v="0"/>
    <x v="1"/>
    <n v="154"/>
    <n v="135"/>
    <n v="4.8"/>
  </r>
  <r>
    <n v="159"/>
    <x v="3"/>
    <x v="1"/>
    <x v="1"/>
    <x v="0"/>
    <x v="2"/>
    <n v="279"/>
    <n v="237"/>
    <n v="5.5"/>
  </r>
  <r>
    <n v="160"/>
    <x v="3"/>
    <x v="1"/>
    <x v="1"/>
    <x v="0"/>
    <x v="3"/>
    <n v="329"/>
    <n v="201"/>
    <n v="6.7"/>
  </r>
  <r>
    <n v="161"/>
    <x v="4"/>
    <x v="2"/>
    <x v="1"/>
    <x v="0"/>
    <x v="0"/>
    <n v="85"/>
    <n v="48"/>
    <n v="7.7"/>
  </r>
  <r>
    <n v="162"/>
    <x v="4"/>
    <x v="2"/>
    <x v="1"/>
    <x v="0"/>
    <x v="1"/>
    <n v="304"/>
    <n v="197"/>
    <n v="7.9"/>
  </r>
  <r>
    <n v="163"/>
    <x v="4"/>
    <x v="2"/>
    <x v="1"/>
    <x v="0"/>
    <x v="2"/>
    <n v="610"/>
    <n v="542"/>
    <n v="1.9"/>
  </r>
  <r>
    <n v="164"/>
    <x v="4"/>
    <x v="2"/>
    <x v="1"/>
    <x v="0"/>
    <x v="3"/>
    <n v="335"/>
    <n v="198"/>
    <n v="5.2"/>
  </r>
  <r>
    <n v="165"/>
    <x v="5"/>
    <x v="3"/>
    <x v="1"/>
    <x v="0"/>
    <x v="0"/>
    <n v="555"/>
    <n v="548"/>
    <n v="9.4"/>
  </r>
  <r>
    <n v="166"/>
    <x v="5"/>
    <x v="3"/>
    <x v="1"/>
    <x v="0"/>
    <x v="1"/>
    <n v="404"/>
    <n v="395"/>
    <n v="8.6"/>
  </r>
  <r>
    <n v="167"/>
    <x v="5"/>
    <x v="3"/>
    <x v="1"/>
    <x v="0"/>
    <x v="2"/>
    <n v="596"/>
    <n v="516"/>
    <n v="8.1"/>
  </r>
  <r>
    <n v="168"/>
    <x v="5"/>
    <x v="3"/>
    <x v="1"/>
    <x v="0"/>
    <x v="3"/>
    <n v="641"/>
    <n v="548"/>
    <n v="8.6999999999999993"/>
  </r>
  <r>
    <n v="169"/>
    <x v="0"/>
    <x v="0"/>
    <x v="1"/>
    <x v="1"/>
    <x v="0"/>
    <n v="566"/>
    <n v="513"/>
    <n v="3.6"/>
  </r>
  <r>
    <n v="170"/>
    <x v="0"/>
    <x v="0"/>
    <x v="1"/>
    <x v="1"/>
    <x v="1"/>
    <n v="333"/>
    <n v="329"/>
    <n v="3.7"/>
  </r>
  <r>
    <n v="171"/>
    <x v="0"/>
    <x v="0"/>
    <x v="1"/>
    <x v="1"/>
    <x v="2"/>
    <n v="613"/>
    <n v="554"/>
    <n v="6.5"/>
  </r>
  <r>
    <n v="172"/>
    <x v="0"/>
    <x v="0"/>
    <x v="1"/>
    <x v="1"/>
    <x v="3"/>
    <n v="361"/>
    <n v="292"/>
    <n v="2.1"/>
  </r>
  <r>
    <n v="173"/>
    <x v="1"/>
    <x v="0"/>
    <x v="1"/>
    <x v="1"/>
    <x v="0"/>
    <n v="372"/>
    <n v="246"/>
    <n v="3.7"/>
  </r>
  <r>
    <n v="174"/>
    <x v="1"/>
    <x v="0"/>
    <x v="1"/>
    <x v="1"/>
    <x v="1"/>
    <n v="407"/>
    <n v="341"/>
    <n v="2.1"/>
  </r>
  <r>
    <n v="175"/>
    <x v="1"/>
    <x v="0"/>
    <x v="1"/>
    <x v="1"/>
    <x v="2"/>
    <n v="234"/>
    <n v="146"/>
    <n v="4.5999999999999996"/>
  </r>
  <r>
    <n v="176"/>
    <x v="1"/>
    <x v="0"/>
    <x v="1"/>
    <x v="1"/>
    <x v="3"/>
    <n v="236"/>
    <n v="208"/>
    <n v="3.2"/>
  </r>
  <r>
    <n v="177"/>
    <x v="2"/>
    <x v="1"/>
    <x v="1"/>
    <x v="1"/>
    <x v="0"/>
    <n v="504"/>
    <n v="356"/>
    <n v="4.0999999999999996"/>
  </r>
  <r>
    <n v="178"/>
    <x v="2"/>
    <x v="1"/>
    <x v="1"/>
    <x v="1"/>
    <x v="1"/>
    <n v="557"/>
    <n v="490"/>
    <n v="2"/>
  </r>
  <r>
    <n v="179"/>
    <x v="2"/>
    <x v="1"/>
    <x v="1"/>
    <x v="1"/>
    <x v="2"/>
    <n v="510"/>
    <n v="454"/>
    <n v="8.6999999999999993"/>
  </r>
  <r>
    <n v="180"/>
    <x v="2"/>
    <x v="1"/>
    <x v="1"/>
    <x v="1"/>
    <x v="3"/>
    <n v="100"/>
    <n v="98"/>
    <n v="6.1"/>
  </r>
  <r>
    <n v="181"/>
    <x v="3"/>
    <x v="1"/>
    <x v="1"/>
    <x v="1"/>
    <x v="0"/>
    <n v="568"/>
    <n v="287"/>
    <n v="9"/>
  </r>
  <r>
    <n v="182"/>
    <x v="3"/>
    <x v="1"/>
    <x v="1"/>
    <x v="1"/>
    <x v="1"/>
    <n v="385"/>
    <n v="384"/>
    <n v="4.5999999999999996"/>
  </r>
  <r>
    <n v="183"/>
    <x v="3"/>
    <x v="1"/>
    <x v="1"/>
    <x v="1"/>
    <x v="2"/>
    <n v="509"/>
    <n v="366"/>
    <n v="5.4"/>
  </r>
  <r>
    <n v="184"/>
    <x v="3"/>
    <x v="1"/>
    <x v="1"/>
    <x v="1"/>
    <x v="3"/>
    <n v="359"/>
    <n v="290"/>
    <n v="5.4"/>
  </r>
  <r>
    <n v="185"/>
    <x v="4"/>
    <x v="2"/>
    <x v="1"/>
    <x v="1"/>
    <x v="0"/>
    <n v="478"/>
    <n v="325"/>
    <n v="6.9"/>
  </r>
  <r>
    <n v="186"/>
    <x v="4"/>
    <x v="2"/>
    <x v="1"/>
    <x v="1"/>
    <x v="1"/>
    <n v="494"/>
    <n v="432"/>
    <n v="2.8"/>
  </r>
  <r>
    <n v="187"/>
    <x v="4"/>
    <x v="2"/>
    <x v="1"/>
    <x v="1"/>
    <x v="2"/>
    <n v="558"/>
    <n v="344"/>
    <n v="9.3000000000000007"/>
  </r>
  <r>
    <n v="188"/>
    <x v="4"/>
    <x v="2"/>
    <x v="1"/>
    <x v="1"/>
    <x v="3"/>
    <n v="626"/>
    <n v="326"/>
    <n v="8.8000000000000007"/>
  </r>
  <r>
    <n v="189"/>
    <x v="5"/>
    <x v="3"/>
    <x v="1"/>
    <x v="1"/>
    <x v="0"/>
    <n v="107"/>
    <n v="58"/>
    <n v="6.6"/>
  </r>
  <r>
    <n v="190"/>
    <x v="5"/>
    <x v="3"/>
    <x v="1"/>
    <x v="1"/>
    <x v="1"/>
    <n v="218"/>
    <n v="168"/>
    <n v="3"/>
  </r>
  <r>
    <n v="191"/>
    <x v="5"/>
    <x v="3"/>
    <x v="1"/>
    <x v="1"/>
    <x v="2"/>
    <n v="346"/>
    <n v="270"/>
    <n v="4.0999999999999996"/>
  </r>
  <r>
    <n v="192"/>
    <x v="5"/>
    <x v="3"/>
    <x v="1"/>
    <x v="1"/>
    <x v="3"/>
    <n v="545"/>
    <n v="439"/>
    <n v="4.2"/>
  </r>
  <r>
    <n v="193"/>
    <x v="0"/>
    <x v="0"/>
    <x v="1"/>
    <x v="2"/>
    <x v="0"/>
    <n v="468"/>
    <n v="305"/>
    <n v="7.5"/>
  </r>
  <r>
    <n v="194"/>
    <x v="0"/>
    <x v="0"/>
    <x v="1"/>
    <x v="2"/>
    <x v="1"/>
    <n v="511"/>
    <n v="384"/>
    <n v="8.1999999999999993"/>
  </r>
  <r>
    <n v="195"/>
    <x v="0"/>
    <x v="0"/>
    <x v="1"/>
    <x v="2"/>
    <x v="2"/>
    <n v="561"/>
    <n v="289"/>
    <n v="7.5"/>
  </r>
  <r>
    <n v="196"/>
    <x v="0"/>
    <x v="0"/>
    <x v="1"/>
    <x v="2"/>
    <x v="3"/>
    <n v="133"/>
    <n v="110"/>
    <n v="3.3"/>
  </r>
  <r>
    <n v="197"/>
    <x v="1"/>
    <x v="0"/>
    <x v="1"/>
    <x v="2"/>
    <x v="0"/>
    <n v="150"/>
    <n v="80"/>
    <n v="7.5"/>
  </r>
  <r>
    <n v="198"/>
    <x v="1"/>
    <x v="0"/>
    <x v="1"/>
    <x v="2"/>
    <x v="1"/>
    <n v="333"/>
    <n v="217"/>
    <n v="8.1999999999999993"/>
  </r>
  <r>
    <n v="199"/>
    <x v="1"/>
    <x v="0"/>
    <x v="1"/>
    <x v="2"/>
    <x v="2"/>
    <n v="236"/>
    <n v="148"/>
    <n v="2.5"/>
  </r>
  <r>
    <n v="200"/>
    <x v="1"/>
    <x v="0"/>
    <x v="1"/>
    <x v="2"/>
    <x v="3"/>
    <n v="197"/>
    <n v="170"/>
    <n v="9.1"/>
  </r>
  <r>
    <n v="201"/>
    <x v="2"/>
    <x v="1"/>
    <x v="1"/>
    <x v="2"/>
    <x v="0"/>
    <n v="556"/>
    <n v="409"/>
    <n v="7.6"/>
  </r>
  <r>
    <n v="202"/>
    <x v="2"/>
    <x v="1"/>
    <x v="1"/>
    <x v="2"/>
    <x v="1"/>
    <n v="251"/>
    <n v="202"/>
    <n v="6.4"/>
  </r>
  <r>
    <n v="203"/>
    <x v="2"/>
    <x v="1"/>
    <x v="1"/>
    <x v="2"/>
    <x v="2"/>
    <n v="197"/>
    <n v="197"/>
    <n v="8.1"/>
  </r>
  <r>
    <n v="204"/>
    <x v="2"/>
    <x v="1"/>
    <x v="1"/>
    <x v="2"/>
    <x v="3"/>
    <n v="398"/>
    <n v="226"/>
    <n v="6.1"/>
  </r>
  <r>
    <n v="205"/>
    <x v="3"/>
    <x v="1"/>
    <x v="1"/>
    <x v="2"/>
    <x v="0"/>
    <n v="399"/>
    <n v="346"/>
    <n v="6.9"/>
  </r>
  <r>
    <n v="206"/>
    <x v="3"/>
    <x v="1"/>
    <x v="1"/>
    <x v="2"/>
    <x v="1"/>
    <n v="464"/>
    <n v="333"/>
    <n v="9"/>
  </r>
  <r>
    <n v="207"/>
    <x v="3"/>
    <x v="1"/>
    <x v="1"/>
    <x v="2"/>
    <x v="2"/>
    <n v="283"/>
    <n v="160"/>
    <n v="6.2"/>
  </r>
  <r>
    <n v="208"/>
    <x v="3"/>
    <x v="1"/>
    <x v="1"/>
    <x v="2"/>
    <x v="3"/>
    <n v="328"/>
    <n v="190"/>
    <n v="7.1"/>
  </r>
  <r>
    <n v="209"/>
    <x v="4"/>
    <x v="2"/>
    <x v="1"/>
    <x v="2"/>
    <x v="0"/>
    <n v="388"/>
    <n v="369"/>
    <n v="6.3"/>
  </r>
  <r>
    <n v="210"/>
    <x v="4"/>
    <x v="2"/>
    <x v="1"/>
    <x v="2"/>
    <x v="1"/>
    <n v="203"/>
    <n v="202"/>
    <n v="9.4"/>
  </r>
  <r>
    <n v="211"/>
    <x v="4"/>
    <x v="2"/>
    <x v="1"/>
    <x v="2"/>
    <x v="2"/>
    <n v="122"/>
    <n v="83"/>
    <n v="5.8"/>
  </r>
  <r>
    <n v="212"/>
    <x v="4"/>
    <x v="2"/>
    <x v="1"/>
    <x v="2"/>
    <x v="3"/>
    <n v="459"/>
    <n v="246"/>
    <n v="5.5"/>
  </r>
  <r>
    <n v="213"/>
    <x v="5"/>
    <x v="3"/>
    <x v="1"/>
    <x v="2"/>
    <x v="0"/>
    <n v="429"/>
    <n v="217"/>
    <n v="8.3000000000000007"/>
  </r>
  <r>
    <n v="214"/>
    <x v="5"/>
    <x v="3"/>
    <x v="1"/>
    <x v="2"/>
    <x v="1"/>
    <n v="581"/>
    <n v="344"/>
    <n v="5"/>
  </r>
  <r>
    <n v="215"/>
    <x v="5"/>
    <x v="3"/>
    <x v="1"/>
    <x v="2"/>
    <x v="2"/>
    <n v="450"/>
    <n v="387"/>
    <n v="8.6"/>
  </r>
  <r>
    <n v="216"/>
    <x v="5"/>
    <x v="3"/>
    <x v="1"/>
    <x v="2"/>
    <x v="3"/>
    <n v="550"/>
    <n v="353"/>
    <n v="5"/>
  </r>
  <r>
    <n v="217"/>
    <x v="0"/>
    <x v="0"/>
    <x v="1"/>
    <x v="3"/>
    <x v="0"/>
    <n v="614"/>
    <n v="445"/>
    <n v="6.4"/>
  </r>
  <r>
    <n v="218"/>
    <x v="0"/>
    <x v="0"/>
    <x v="1"/>
    <x v="3"/>
    <x v="1"/>
    <n v="631"/>
    <n v="562"/>
    <n v="5.2"/>
  </r>
  <r>
    <n v="219"/>
    <x v="0"/>
    <x v="0"/>
    <x v="1"/>
    <x v="3"/>
    <x v="2"/>
    <n v="354"/>
    <n v="259"/>
    <n v="8.3000000000000007"/>
  </r>
  <r>
    <n v="220"/>
    <x v="0"/>
    <x v="0"/>
    <x v="1"/>
    <x v="3"/>
    <x v="3"/>
    <n v="168"/>
    <n v="119"/>
    <n v="8.6"/>
  </r>
  <r>
    <n v="221"/>
    <x v="1"/>
    <x v="0"/>
    <x v="1"/>
    <x v="3"/>
    <x v="0"/>
    <n v="329"/>
    <n v="282"/>
    <n v="6.1"/>
  </r>
  <r>
    <n v="222"/>
    <x v="1"/>
    <x v="0"/>
    <x v="1"/>
    <x v="3"/>
    <x v="1"/>
    <n v="468"/>
    <n v="320"/>
    <n v="1.7"/>
  </r>
  <r>
    <n v="223"/>
    <x v="1"/>
    <x v="0"/>
    <x v="1"/>
    <x v="3"/>
    <x v="2"/>
    <n v="412"/>
    <n v="252"/>
    <n v="5.4"/>
  </r>
  <r>
    <n v="224"/>
    <x v="1"/>
    <x v="0"/>
    <x v="1"/>
    <x v="3"/>
    <x v="3"/>
    <n v="443"/>
    <n v="425"/>
    <n v="3.6"/>
  </r>
  <r>
    <n v="225"/>
    <x v="2"/>
    <x v="1"/>
    <x v="1"/>
    <x v="3"/>
    <x v="0"/>
    <n v="366"/>
    <n v="335"/>
    <n v="7.1"/>
  </r>
  <r>
    <n v="226"/>
    <x v="2"/>
    <x v="1"/>
    <x v="1"/>
    <x v="3"/>
    <x v="1"/>
    <n v="362"/>
    <n v="323"/>
    <n v="1.6"/>
  </r>
  <r>
    <n v="227"/>
    <x v="2"/>
    <x v="1"/>
    <x v="1"/>
    <x v="3"/>
    <x v="2"/>
    <n v="275"/>
    <n v="158"/>
    <n v="3.4"/>
  </r>
  <r>
    <n v="228"/>
    <x v="2"/>
    <x v="1"/>
    <x v="1"/>
    <x v="3"/>
    <x v="3"/>
    <n v="496"/>
    <n v="373"/>
    <n v="5.9"/>
  </r>
  <r>
    <n v="229"/>
    <x v="3"/>
    <x v="1"/>
    <x v="1"/>
    <x v="3"/>
    <x v="0"/>
    <n v="326"/>
    <n v="284"/>
    <n v="6.7"/>
  </r>
  <r>
    <n v="230"/>
    <x v="3"/>
    <x v="1"/>
    <x v="1"/>
    <x v="3"/>
    <x v="1"/>
    <n v="582"/>
    <n v="520"/>
    <n v="7.8"/>
  </r>
  <r>
    <n v="231"/>
    <x v="3"/>
    <x v="1"/>
    <x v="1"/>
    <x v="3"/>
    <x v="2"/>
    <n v="175"/>
    <n v="124"/>
    <n v="3.3"/>
  </r>
  <r>
    <n v="232"/>
    <x v="3"/>
    <x v="1"/>
    <x v="1"/>
    <x v="3"/>
    <x v="3"/>
    <n v="329"/>
    <n v="242"/>
    <n v="6.8"/>
  </r>
  <r>
    <n v="233"/>
    <x v="4"/>
    <x v="2"/>
    <x v="1"/>
    <x v="3"/>
    <x v="0"/>
    <n v="457"/>
    <n v="349"/>
    <n v="5.9"/>
  </r>
  <r>
    <n v="234"/>
    <x v="4"/>
    <x v="2"/>
    <x v="1"/>
    <x v="3"/>
    <x v="1"/>
    <n v="432"/>
    <n v="324"/>
    <n v="9.5"/>
  </r>
  <r>
    <n v="235"/>
    <x v="4"/>
    <x v="2"/>
    <x v="1"/>
    <x v="3"/>
    <x v="2"/>
    <n v="643"/>
    <n v="490"/>
    <n v="4.3"/>
  </r>
  <r>
    <n v="236"/>
    <x v="4"/>
    <x v="2"/>
    <x v="1"/>
    <x v="3"/>
    <x v="3"/>
    <n v="544"/>
    <n v="410"/>
    <n v="4"/>
  </r>
  <r>
    <n v="237"/>
    <x v="5"/>
    <x v="3"/>
    <x v="1"/>
    <x v="3"/>
    <x v="0"/>
    <n v="316"/>
    <n v="188"/>
    <n v="7.3"/>
  </r>
  <r>
    <n v="238"/>
    <x v="5"/>
    <x v="3"/>
    <x v="1"/>
    <x v="3"/>
    <x v="1"/>
    <n v="403"/>
    <n v="231"/>
    <n v="7.4"/>
  </r>
  <r>
    <n v="239"/>
    <x v="5"/>
    <x v="3"/>
    <x v="1"/>
    <x v="3"/>
    <x v="2"/>
    <n v="269"/>
    <n v="183"/>
    <n v="3.2"/>
  </r>
  <r>
    <n v="240"/>
    <x v="5"/>
    <x v="3"/>
    <x v="1"/>
    <x v="3"/>
    <x v="3"/>
    <n v="575"/>
    <n v="428"/>
    <n v="7.3"/>
  </r>
  <r>
    <n v="241"/>
    <x v="0"/>
    <x v="0"/>
    <x v="1"/>
    <x v="4"/>
    <x v="0"/>
    <n v="617"/>
    <n v="613"/>
    <n v="3.8"/>
  </r>
  <r>
    <n v="242"/>
    <x v="0"/>
    <x v="0"/>
    <x v="1"/>
    <x v="4"/>
    <x v="1"/>
    <n v="182"/>
    <n v="115"/>
    <n v="3.9"/>
  </r>
  <r>
    <n v="243"/>
    <x v="0"/>
    <x v="0"/>
    <x v="1"/>
    <x v="4"/>
    <x v="2"/>
    <n v="449"/>
    <n v="269"/>
    <n v="3.9"/>
  </r>
  <r>
    <n v="244"/>
    <x v="0"/>
    <x v="0"/>
    <x v="1"/>
    <x v="4"/>
    <x v="3"/>
    <n v="626"/>
    <n v="377"/>
    <n v="3.7"/>
  </r>
  <r>
    <n v="245"/>
    <x v="1"/>
    <x v="0"/>
    <x v="1"/>
    <x v="4"/>
    <x v="0"/>
    <n v="135"/>
    <n v="104"/>
    <n v="7.1"/>
  </r>
  <r>
    <n v="246"/>
    <x v="1"/>
    <x v="0"/>
    <x v="1"/>
    <x v="4"/>
    <x v="1"/>
    <n v="209"/>
    <n v="185"/>
    <n v="8.4"/>
  </r>
  <r>
    <n v="247"/>
    <x v="1"/>
    <x v="0"/>
    <x v="1"/>
    <x v="4"/>
    <x v="2"/>
    <n v="582"/>
    <n v="343"/>
    <n v="8.5"/>
  </r>
  <r>
    <n v="248"/>
    <x v="1"/>
    <x v="0"/>
    <x v="1"/>
    <x v="4"/>
    <x v="3"/>
    <n v="371"/>
    <n v="305"/>
    <n v="5.3"/>
  </r>
  <r>
    <n v="249"/>
    <x v="2"/>
    <x v="1"/>
    <x v="1"/>
    <x v="4"/>
    <x v="0"/>
    <n v="428"/>
    <n v="261"/>
    <n v="9.1999999999999993"/>
  </r>
  <r>
    <n v="250"/>
    <x v="2"/>
    <x v="1"/>
    <x v="1"/>
    <x v="4"/>
    <x v="1"/>
    <n v="338"/>
    <n v="291"/>
    <n v="2.4"/>
  </r>
  <r>
    <n v="251"/>
    <x v="2"/>
    <x v="1"/>
    <x v="1"/>
    <x v="4"/>
    <x v="2"/>
    <n v="146"/>
    <n v="124"/>
    <n v="5.4"/>
  </r>
  <r>
    <n v="252"/>
    <x v="2"/>
    <x v="1"/>
    <x v="1"/>
    <x v="4"/>
    <x v="3"/>
    <n v="134"/>
    <n v="86"/>
    <n v="2.7"/>
  </r>
  <r>
    <n v="253"/>
    <x v="3"/>
    <x v="1"/>
    <x v="1"/>
    <x v="4"/>
    <x v="0"/>
    <n v="391"/>
    <n v="216"/>
    <n v="9.5"/>
  </r>
  <r>
    <n v="254"/>
    <x v="3"/>
    <x v="1"/>
    <x v="1"/>
    <x v="4"/>
    <x v="1"/>
    <n v="201"/>
    <n v="171"/>
    <n v="7.6"/>
  </r>
  <r>
    <n v="255"/>
    <x v="3"/>
    <x v="1"/>
    <x v="1"/>
    <x v="4"/>
    <x v="2"/>
    <n v="311"/>
    <n v="288"/>
    <n v="4.5"/>
  </r>
  <r>
    <n v="256"/>
    <x v="3"/>
    <x v="1"/>
    <x v="1"/>
    <x v="4"/>
    <x v="3"/>
    <n v="533"/>
    <n v="418"/>
    <n v="8.4"/>
  </r>
  <r>
    <n v="257"/>
    <x v="4"/>
    <x v="2"/>
    <x v="1"/>
    <x v="4"/>
    <x v="0"/>
    <n v="519"/>
    <n v="415"/>
    <n v="6"/>
  </r>
  <r>
    <n v="258"/>
    <x v="4"/>
    <x v="2"/>
    <x v="1"/>
    <x v="4"/>
    <x v="1"/>
    <n v="141"/>
    <n v="82"/>
    <n v="9.1"/>
  </r>
  <r>
    <n v="259"/>
    <x v="4"/>
    <x v="2"/>
    <x v="1"/>
    <x v="4"/>
    <x v="2"/>
    <n v="292"/>
    <n v="200"/>
    <n v="3.6"/>
  </r>
  <r>
    <n v="260"/>
    <x v="4"/>
    <x v="2"/>
    <x v="1"/>
    <x v="4"/>
    <x v="3"/>
    <n v="163"/>
    <n v="101"/>
    <n v="3.4"/>
  </r>
  <r>
    <n v="261"/>
    <x v="5"/>
    <x v="3"/>
    <x v="1"/>
    <x v="4"/>
    <x v="0"/>
    <n v="645"/>
    <n v="360"/>
    <n v="2.8"/>
  </r>
  <r>
    <n v="262"/>
    <x v="5"/>
    <x v="3"/>
    <x v="1"/>
    <x v="4"/>
    <x v="1"/>
    <n v="498"/>
    <n v="364"/>
    <n v="7"/>
  </r>
  <r>
    <n v="263"/>
    <x v="5"/>
    <x v="3"/>
    <x v="1"/>
    <x v="4"/>
    <x v="2"/>
    <n v="561"/>
    <n v="429"/>
    <n v="1.8"/>
  </r>
  <r>
    <n v="264"/>
    <x v="5"/>
    <x v="3"/>
    <x v="1"/>
    <x v="4"/>
    <x v="3"/>
    <n v="375"/>
    <n v="367"/>
    <n v="3.8"/>
  </r>
  <r>
    <n v="265"/>
    <x v="0"/>
    <x v="0"/>
    <x v="1"/>
    <x v="5"/>
    <x v="0"/>
    <n v="544"/>
    <n v="308"/>
    <n v="7"/>
  </r>
  <r>
    <n v="266"/>
    <x v="0"/>
    <x v="0"/>
    <x v="1"/>
    <x v="5"/>
    <x v="1"/>
    <n v="350"/>
    <n v="335"/>
    <n v="6.2"/>
  </r>
  <r>
    <n v="267"/>
    <x v="0"/>
    <x v="0"/>
    <x v="1"/>
    <x v="5"/>
    <x v="2"/>
    <n v="282"/>
    <n v="249"/>
    <n v="2.4"/>
  </r>
  <r>
    <n v="268"/>
    <x v="0"/>
    <x v="0"/>
    <x v="1"/>
    <x v="5"/>
    <x v="3"/>
    <n v="310"/>
    <n v="193"/>
    <n v="8.8000000000000007"/>
  </r>
  <r>
    <n v="269"/>
    <x v="1"/>
    <x v="0"/>
    <x v="1"/>
    <x v="5"/>
    <x v="0"/>
    <n v="225"/>
    <n v="121"/>
    <n v="2"/>
  </r>
  <r>
    <n v="270"/>
    <x v="1"/>
    <x v="0"/>
    <x v="1"/>
    <x v="5"/>
    <x v="1"/>
    <n v="394"/>
    <n v="349"/>
    <n v="7.5"/>
  </r>
  <r>
    <n v="271"/>
    <x v="1"/>
    <x v="0"/>
    <x v="1"/>
    <x v="5"/>
    <x v="2"/>
    <n v="375"/>
    <n v="299"/>
    <n v="2.5"/>
  </r>
  <r>
    <n v="272"/>
    <x v="1"/>
    <x v="0"/>
    <x v="1"/>
    <x v="5"/>
    <x v="3"/>
    <n v="391"/>
    <n v="374"/>
    <n v="4.7"/>
  </r>
  <r>
    <n v="273"/>
    <x v="2"/>
    <x v="1"/>
    <x v="1"/>
    <x v="5"/>
    <x v="0"/>
    <n v="358"/>
    <n v="307"/>
    <n v="5.8"/>
  </r>
  <r>
    <n v="274"/>
    <x v="2"/>
    <x v="1"/>
    <x v="1"/>
    <x v="5"/>
    <x v="1"/>
    <n v="528"/>
    <n v="305"/>
    <n v="6.3"/>
  </r>
  <r>
    <n v="275"/>
    <x v="2"/>
    <x v="1"/>
    <x v="1"/>
    <x v="5"/>
    <x v="2"/>
    <n v="522"/>
    <n v="426"/>
    <n v="6.3"/>
  </r>
  <r>
    <n v="276"/>
    <x v="2"/>
    <x v="1"/>
    <x v="1"/>
    <x v="5"/>
    <x v="3"/>
    <n v="106"/>
    <n v="58"/>
    <n v="3.3"/>
  </r>
  <r>
    <n v="277"/>
    <x v="3"/>
    <x v="1"/>
    <x v="1"/>
    <x v="5"/>
    <x v="0"/>
    <n v="101"/>
    <n v="98"/>
    <n v="6.9"/>
  </r>
  <r>
    <n v="278"/>
    <x v="3"/>
    <x v="1"/>
    <x v="1"/>
    <x v="5"/>
    <x v="1"/>
    <n v="355"/>
    <n v="324"/>
    <n v="1.8"/>
  </r>
  <r>
    <n v="279"/>
    <x v="3"/>
    <x v="1"/>
    <x v="1"/>
    <x v="5"/>
    <x v="2"/>
    <n v="259"/>
    <n v="249"/>
    <n v="5.7"/>
  </r>
  <r>
    <n v="280"/>
    <x v="3"/>
    <x v="1"/>
    <x v="1"/>
    <x v="5"/>
    <x v="3"/>
    <n v="532"/>
    <n v="408"/>
    <n v="3"/>
  </r>
  <r>
    <n v="281"/>
    <x v="4"/>
    <x v="2"/>
    <x v="1"/>
    <x v="5"/>
    <x v="0"/>
    <n v="526"/>
    <n v="514"/>
    <n v="9.3000000000000007"/>
  </r>
  <r>
    <n v="282"/>
    <x v="4"/>
    <x v="2"/>
    <x v="1"/>
    <x v="5"/>
    <x v="1"/>
    <n v="561"/>
    <n v="458"/>
    <n v="4.8"/>
  </r>
  <r>
    <n v="283"/>
    <x v="4"/>
    <x v="2"/>
    <x v="1"/>
    <x v="5"/>
    <x v="2"/>
    <n v="408"/>
    <n v="375"/>
    <n v="2.2999999999999998"/>
  </r>
  <r>
    <n v="284"/>
    <x v="4"/>
    <x v="2"/>
    <x v="1"/>
    <x v="5"/>
    <x v="3"/>
    <n v="244"/>
    <n v="164"/>
    <n v="4.8"/>
  </r>
  <r>
    <n v="285"/>
    <x v="5"/>
    <x v="3"/>
    <x v="1"/>
    <x v="5"/>
    <x v="0"/>
    <n v="587"/>
    <n v="440"/>
    <n v="6.8"/>
  </r>
  <r>
    <n v="286"/>
    <x v="5"/>
    <x v="3"/>
    <x v="1"/>
    <x v="5"/>
    <x v="1"/>
    <n v="490"/>
    <n v="453"/>
    <n v="7.6"/>
  </r>
  <r>
    <n v="287"/>
    <x v="5"/>
    <x v="3"/>
    <x v="1"/>
    <x v="5"/>
    <x v="2"/>
    <n v="117"/>
    <n v="87"/>
    <n v="2.2000000000000002"/>
  </r>
  <r>
    <n v="288"/>
    <x v="5"/>
    <x v="3"/>
    <x v="1"/>
    <x v="5"/>
    <x v="3"/>
    <n v="338"/>
    <n v="251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B25BE-0164-41D9-A974-399BB683078A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4" firstHeaderRow="0" firstDataRow="1" firstDataCol="0"/>
  <pivotFields count="10"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oyenne de Durée moyenne (jours)" fld="8" subtotal="average" baseField="0" baseItem="1"/>
    <dataField name="Somme de Nombre de séjours" fld="7" baseField="0" baseItem="0"/>
    <dataField name="Nombre de Établissement" fld="1" subtotal="count" baseField="0" baseItem="0"/>
    <dataField name="Somme de Nombre de patient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35906-9AF0-4EB8-AA1C-163F9A710BB6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 rowHeaderCaption="Établissement">
  <location ref="A3:B10" firstHeaderRow="1" firstDataRow="1" firstDataCol="1"/>
  <pivotFields count="10">
    <pivotField showAll="0"/>
    <pivotField axis="axisRow" showAll="0">
      <items count="7">
        <item x="3"/>
        <item x="1"/>
        <item x="4"/>
        <item x="5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Nombre de patients" fld="6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440FF-CFFC-43B7-BA96-FAB81D722703}" name="Tableau croisé dynamique10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 rowHeaderCaption="Département">
  <location ref="A3:B8" firstHeaderRow="1" firstDataRow="1" firstDataCol="1"/>
  <pivotFields count="9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Nombre de patients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F800A4-C9F2-4999-BE01-ACC7975DF2E6}" name="Tableau croisé dynamique1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 rowHeaderCaption="établissement" colHeaderCaption="activité">
  <location ref="A3:B8" firstHeaderRow="1" firstDataRow="1" firstDataCol="1"/>
  <pivotFields count="9">
    <pivotField showAll="0"/>
    <pivotField showAll="0">
      <items count="7">
        <item x="3"/>
        <item x="1"/>
        <item x="4"/>
        <item x="5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5">
        <item x="1"/>
        <item x="2"/>
        <item x="0"/>
        <item x="3"/>
        <item t="default"/>
      </items>
    </pivotField>
    <pivotField dataField="1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Nombre de patients" fld="6" baseField="1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64452-B64C-4608-BD85-206C0884C3CA}" name="Tableau croisé dynamique13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A3:B8" firstHeaderRow="1" firstDataRow="1" firstDataCol="1" rowPageCount="1" colPageCount="1"/>
  <pivotFields count="9"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3" hier="-1"/>
  </pageFields>
  <dataFields count="1">
    <dataField name="Somme de Durée moyenne (jours)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C8953-90D1-4D62-8330-93E5369FB4F9}" name="Tableau croisé dynamique15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3" rowHeaderCaption="Mois">
  <location ref="A3:B10" firstHeaderRow="1" firstDataRow="1" firstDataCol="1" rowPageCount="1" colPageCount="1"/>
  <pivotFields count="9"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 hier="-1"/>
  </pageFields>
  <dataFields count="1">
    <dataField name="Somme de Nombre de patients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Établissement" xr10:uid="{1061C6CA-616C-4BE1-B227-5B202CFDBA84}" sourceName="Établissement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Département" xr10:uid="{F9CA6355-2E71-408F-96C2-5923B7808A89}" sourceName="Département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" xr10:uid="{576F56F4-DD92-4B04-818B-40FADD6FB40D}" sourceName="Année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ctivité" xr10:uid="{98784751-C4F0-4B33-97F4-B8074F0EC598}" sourceName="Activité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Établissement" xr10:uid="{6E079B90-7AA8-4D5D-9EE2-83510F4237DF}" cache="Segment_Établissement" caption="Établissement" columnCount="2" rowHeight="241300"/>
  <slicer name="Département" xr10:uid="{21579BE0-B631-461D-BD12-84B3F688C3A7}" cache="Segment_Département" caption="Département" rowHeight="241300"/>
  <slicer name="Année" xr10:uid="{020E41B8-7953-4804-800B-653FBAF36FF4}" cache="Segment_Année" caption="Année" rowHeight="241300"/>
  <slicer name="Activité" xr10:uid="{2CDC6140-2367-464B-8D9D-30F3A28EAB12}" cache="Segment_Activité" caption="Activité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DB85E-95F5-4FB2-83E7-7633F27EE89A}" name="Tableau1" displayName="Tableau1" ref="A16:J304" totalsRowShown="0" headerRowDxfId="0">
  <autoFilter ref="A16:J304" xr:uid="{FC2DB85E-95F5-4FB2-83E7-7633F27EE89A}">
    <filterColumn colId="2">
      <filters>
        <filter val="31"/>
        <filter val="34"/>
        <filter val="66"/>
      </filters>
    </filterColumn>
  </autoFilter>
  <tableColumns count="10">
    <tableColumn id="1" xr3:uid="{D707AFC6-6711-4CB8-A35F-A6C6F5CBF6D0}" name="ID"/>
    <tableColumn id="2" xr3:uid="{2D4A9007-9D45-4572-9BF0-EB63D218BF3A}" name="Établissement"/>
    <tableColumn id="3" xr3:uid="{D190ADE5-0AF3-4832-AACA-02DC500C37A2}" name="Département"/>
    <tableColumn id="4" xr3:uid="{CEA399D3-0618-4728-A455-9C4B7B3402D4}" name="Année"/>
    <tableColumn id="5" xr3:uid="{28182405-3CBD-4589-AE54-11CBED457D6E}" name="Mois"/>
    <tableColumn id="6" xr3:uid="{1D8FAFB4-56DA-4C81-9B50-A47C083ED98C}" name="Activité"/>
    <tableColumn id="7" xr3:uid="{9E5A0380-4169-449B-8BEC-2FF24D6B15A6}" name="Nombre de patients"/>
    <tableColumn id="8" xr3:uid="{4486C51F-66BE-4CE8-9356-2056C174CBF5}" name="Nombre de séjours"/>
    <tableColumn id="9" xr3:uid="{4624A2FA-0421-4CF8-BC90-92315BDB7C79}" name="Durée moyenne (jours)"/>
    <tableColumn id="10" xr3:uid="{E27DC2E6-DF7A-4FD2-BE80-18639766D00B}" name="Niveau d’activité">
      <calculatedColumnFormula>IF(G17&gt;500,"Activité élevée","Activité normale")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B3B8E-8CCB-4E4A-9A3A-232ADB58C1A5}">
  <dimension ref="A1:J304"/>
  <sheetViews>
    <sheetView tabSelected="1" zoomScale="70" zoomScaleNormal="70" workbookViewId="0">
      <selection activeCell="G13" sqref="G13"/>
    </sheetView>
  </sheetViews>
  <sheetFormatPr baseColWidth="10" defaultRowHeight="14.25" x14ac:dyDescent="0.45"/>
  <cols>
    <col min="2" max="2" width="14.06640625" customWidth="1"/>
    <col min="3" max="3" width="13.46484375" customWidth="1"/>
    <col min="7" max="7" width="18.9296875" customWidth="1"/>
    <col min="8" max="8" width="18.1328125" customWidth="1"/>
    <col min="9" max="9" width="21.46484375" customWidth="1"/>
    <col min="10" max="10" width="16.19921875" customWidth="1"/>
  </cols>
  <sheetData>
    <row r="1" spans="1:10" x14ac:dyDescent="0.45">
      <c r="C1" s="13" t="s">
        <v>34</v>
      </c>
      <c r="D1" s="13"/>
      <c r="E1" s="13"/>
      <c r="F1" s="13"/>
      <c r="G1" s="13"/>
      <c r="H1" s="13"/>
    </row>
    <row r="2" spans="1:10" x14ac:dyDescent="0.45">
      <c r="C2" s="13"/>
      <c r="D2" s="13"/>
      <c r="E2" s="13"/>
      <c r="F2" s="13"/>
      <c r="G2" s="13"/>
      <c r="H2" s="13"/>
    </row>
    <row r="16" spans="1:10" x14ac:dyDescent="0.45">
      <c r="A16" s="1" t="s">
        <v>0</v>
      </c>
      <c r="B16" s="4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4" t="s">
        <v>33</v>
      </c>
    </row>
    <row r="17" spans="1:10" x14ac:dyDescent="0.45">
      <c r="A17">
        <v>1</v>
      </c>
      <c r="B17" t="s">
        <v>9</v>
      </c>
      <c r="C17" t="s">
        <v>10</v>
      </c>
      <c r="D17">
        <v>2025</v>
      </c>
      <c r="E17">
        <v>1</v>
      </c>
      <c r="F17" t="s">
        <v>11</v>
      </c>
      <c r="G17">
        <v>194</v>
      </c>
      <c r="H17">
        <v>100</v>
      </c>
      <c r="I17">
        <v>7.4</v>
      </c>
      <c r="J17" t="str">
        <f>IF(G17&gt;500,"Activité élevée","Activité normale")</f>
        <v>Activité normale</v>
      </c>
    </row>
    <row r="18" spans="1:10" x14ac:dyDescent="0.45">
      <c r="A18">
        <v>2</v>
      </c>
      <c r="B18" t="s">
        <v>9</v>
      </c>
      <c r="C18" t="s">
        <v>10</v>
      </c>
      <c r="D18">
        <v>2025</v>
      </c>
      <c r="E18">
        <v>1</v>
      </c>
      <c r="F18" t="s">
        <v>12</v>
      </c>
      <c r="G18">
        <v>330</v>
      </c>
      <c r="H18">
        <v>222</v>
      </c>
      <c r="I18">
        <v>2.6</v>
      </c>
      <c r="J18" t="str">
        <f t="shared" ref="J18:J81" si="0">IF(G18&gt;500,"Activité élevée","Activité normale")</f>
        <v>Activité normale</v>
      </c>
    </row>
    <row r="19" spans="1:10" x14ac:dyDescent="0.45">
      <c r="A19">
        <v>3</v>
      </c>
      <c r="B19" t="s">
        <v>9</v>
      </c>
      <c r="C19" t="s">
        <v>10</v>
      </c>
      <c r="D19">
        <v>2025</v>
      </c>
      <c r="E19">
        <v>1</v>
      </c>
      <c r="F19" t="s">
        <v>13</v>
      </c>
      <c r="G19">
        <v>184</v>
      </c>
      <c r="H19">
        <v>178</v>
      </c>
      <c r="I19">
        <v>7.4</v>
      </c>
      <c r="J19" t="str">
        <f t="shared" si="0"/>
        <v>Activité normale</v>
      </c>
    </row>
    <row r="20" spans="1:10" x14ac:dyDescent="0.45">
      <c r="A20">
        <v>4</v>
      </c>
      <c r="B20" t="s">
        <v>9</v>
      </c>
      <c r="C20" t="s">
        <v>10</v>
      </c>
      <c r="D20">
        <v>2025</v>
      </c>
      <c r="E20">
        <v>1</v>
      </c>
      <c r="F20" t="s">
        <v>14</v>
      </c>
      <c r="G20">
        <v>638</v>
      </c>
      <c r="H20">
        <v>363</v>
      </c>
      <c r="I20">
        <v>6.2</v>
      </c>
      <c r="J20" t="str">
        <f t="shared" si="0"/>
        <v>Activité élevée</v>
      </c>
    </row>
    <row r="21" spans="1:10" x14ac:dyDescent="0.45">
      <c r="A21">
        <v>5</v>
      </c>
      <c r="B21" t="s">
        <v>15</v>
      </c>
      <c r="C21" t="s">
        <v>10</v>
      </c>
      <c r="D21">
        <v>2025</v>
      </c>
      <c r="E21">
        <v>1</v>
      </c>
      <c r="F21" t="s">
        <v>11</v>
      </c>
      <c r="G21">
        <v>112</v>
      </c>
      <c r="H21">
        <v>57</v>
      </c>
      <c r="I21">
        <v>2.2000000000000002</v>
      </c>
      <c r="J21" t="str">
        <f t="shared" si="0"/>
        <v>Activité normale</v>
      </c>
    </row>
    <row r="22" spans="1:10" x14ac:dyDescent="0.45">
      <c r="A22">
        <v>6</v>
      </c>
      <c r="B22" t="s">
        <v>15</v>
      </c>
      <c r="C22" t="s">
        <v>10</v>
      </c>
      <c r="D22">
        <v>2025</v>
      </c>
      <c r="E22">
        <v>1</v>
      </c>
      <c r="F22" t="s">
        <v>12</v>
      </c>
      <c r="G22">
        <v>318</v>
      </c>
      <c r="H22">
        <v>288</v>
      </c>
      <c r="I22">
        <v>6.3</v>
      </c>
      <c r="J22" t="str">
        <f t="shared" si="0"/>
        <v>Activité normale</v>
      </c>
    </row>
    <row r="23" spans="1:10" x14ac:dyDescent="0.45">
      <c r="A23">
        <v>7</v>
      </c>
      <c r="B23" t="s">
        <v>15</v>
      </c>
      <c r="C23" t="s">
        <v>10</v>
      </c>
      <c r="D23">
        <v>2025</v>
      </c>
      <c r="E23">
        <v>1</v>
      </c>
      <c r="F23" t="s">
        <v>13</v>
      </c>
      <c r="G23">
        <v>283</v>
      </c>
      <c r="H23">
        <v>280</v>
      </c>
      <c r="I23">
        <v>4.9000000000000004</v>
      </c>
      <c r="J23" t="str">
        <f t="shared" si="0"/>
        <v>Activité normale</v>
      </c>
    </row>
    <row r="24" spans="1:10" x14ac:dyDescent="0.45">
      <c r="A24">
        <v>8</v>
      </c>
      <c r="B24" t="s">
        <v>15</v>
      </c>
      <c r="C24" t="s">
        <v>10</v>
      </c>
      <c r="D24">
        <v>2025</v>
      </c>
      <c r="E24">
        <v>1</v>
      </c>
      <c r="F24" t="s">
        <v>14</v>
      </c>
      <c r="G24">
        <v>539</v>
      </c>
      <c r="H24">
        <v>411</v>
      </c>
      <c r="I24">
        <v>8</v>
      </c>
      <c r="J24" t="str">
        <f t="shared" si="0"/>
        <v>Activité élevée</v>
      </c>
    </row>
    <row r="25" spans="1:10" x14ac:dyDescent="0.45">
      <c r="A25">
        <v>9</v>
      </c>
      <c r="B25" t="s">
        <v>16</v>
      </c>
      <c r="C25" t="s">
        <v>17</v>
      </c>
      <c r="D25">
        <v>2025</v>
      </c>
      <c r="E25">
        <v>1</v>
      </c>
      <c r="F25" t="s">
        <v>11</v>
      </c>
      <c r="G25">
        <v>86</v>
      </c>
      <c r="H25">
        <v>53</v>
      </c>
      <c r="I25">
        <v>7.1</v>
      </c>
      <c r="J25" t="str">
        <f t="shared" si="0"/>
        <v>Activité normale</v>
      </c>
    </row>
    <row r="26" spans="1:10" x14ac:dyDescent="0.45">
      <c r="A26">
        <v>10</v>
      </c>
      <c r="B26" t="s">
        <v>16</v>
      </c>
      <c r="C26" t="s">
        <v>17</v>
      </c>
      <c r="D26">
        <v>2025</v>
      </c>
      <c r="E26">
        <v>1</v>
      </c>
      <c r="F26" t="s">
        <v>12</v>
      </c>
      <c r="G26">
        <v>428</v>
      </c>
      <c r="H26">
        <v>285</v>
      </c>
      <c r="I26">
        <v>2.7</v>
      </c>
      <c r="J26" t="str">
        <f t="shared" si="0"/>
        <v>Activité normale</v>
      </c>
    </row>
    <row r="27" spans="1:10" x14ac:dyDescent="0.45">
      <c r="A27">
        <v>11</v>
      </c>
      <c r="B27" t="s">
        <v>16</v>
      </c>
      <c r="C27" t="s">
        <v>17</v>
      </c>
      <c r="D27">
        <v>2025</v>
      </c>
      <c r="E27">
        <v>1</v>
      </c>
      <c r="F27" t="s">
        <v>13</v>
      </c>
      <c r="G27">
        <v>424</v>
      </c>
      <c r="H27">
        <v>238</v>
      </c>
      <c r="I27">
        <v>2.2000000000000002</v>
      </c>
      <c r="J27" t="str">
        <f t="shared" si="0"/>
        <v>Activité normale</v>
      </c>
    </row>
    <row r="28" spans="1:10" x14ac:dyDescent="0.45">
      <c r="A28">
        <v>12</v>
      </c>
      <c r="B28" t="s">
        <v>16</v>
      </c>
      <c r="C28" t="s">
        <v>17</v>
      </c>
      <c r="D28">
        <v>2025</v>
      </c>
      <c r="E28">
        <v>1</v>
      </c>
      <c r="F28" t="s">
        <v>14</v>
      </c>
      <c r="G28">
        <v>179</v>
      </c>
      <c r="H28">
        <v>134</v>
      </c>
      <c r="I28">
        <v>8.3000000000000007</v>
      </c>
      <c r="J28" t="str">
        <f t="shared" si="0"/>
        <v>Activité normale</v>
      </c>
    </row>
    <row r="29" spans="1:10" x14ac:dyDescent="0.45">
      <c r="A29">
        <v>13</v>
      </c>
      <c r="B29" t="s">
        <v>18</v>
      </c>
      <c r="C29" t="s">
        <v>17</v>
      </c>
      <c r="D29">
        <v>2025</v>
      </c>
      <c r="E29">
        <v>1</v>
      </c>
      <c r="F29" t="s">
        <v>11</v>
      </c>
      <c r="G29">
        <v>350</v>
      </c>
      <c r="H29">
        <v>186</v>
      </c>
      <c r="I29">
        <v>7.3</v>
      </c>
      <c r="J29" t="str">
        <f t="shared" si="0"/>
        <v>Activité normale</v>
      </c>
    </row>
    <row r="30" spans="1:10" x14ac:dyDescent="0.45">
      <c r="A30">
        <v>14</v>
      </c>
      <c r="B30" t="s">
        <v>18</v>
      </c>
      <c r="C30" t="s">
        <v>17</v>
      </c>
      <c r="D30">
        <v>2025</v>
      </c>
      <c r="E30">
        <v>1</v>
      </c>
      <c r="F30" t="s">
        <v>12</v>
      </c>
      <c r="G30">
        <v>629</v>
      </c>
      <c r="H30">
        <v>377</v>
      </c>
      <c r="I30">
        <v>9.3000000000000007</v>
      </c>
      <c r="J30" t="str">
        <f t="shared" si="0"/>
        <v>Activité élevée</v>
      </c>
    </row>
    <row r="31" spans="1:10" x14ac:dyDescent="0.45">
      <c r="A31">
        <v>15</v>
      </c>
      <c r="B31" t="s">
        <v>18</v>
      </c>
      <c r="C31" t="s">
        <v>17</v>
      </c>
      <c r="D31">
        <v>2025</v>
      </c>
      <c r="E31">
        <v>1</v>
      </c>
      <c r="F31" t="s">
        <v>13</v>
      </c>
      <c r="G31">
        <v>467</v>
      </c>
      <c r="H31">
        <v>253</v>
      </c>
      <c r="I31">
        <v>5.9</v>
      </c>
      <c r="J31" t="str">
        <f t="shared" si="0"/>
        <v>Activité normale</v>
      </c>
    </row>
    <row r="32" spans="1:10" x14ac:dyDescent="0.45">
      <c r="A32">
        <v>16</v>
      </c>
      <c r="B32" t="s">
        <v>18</v>
      </c>
      <c r="C32" t="s">
        <v>17</v>
      </c>
      <c r="D32">
        <v>2025</v>
      </c>
      <c r="E32">
        <v>1</v>
      </c>
      <c r="F32" t="s">
        <v>14</v>
      </c>
      <c r="G32">
        <v>450</v>
      </c>
      <c r="H32">
        <v>372</v>
      </c>
      <c r="I32">
        <v>3</v>
      </c>
      <c r="J32" t="str">
        <f t="shared" si="0"/>
        <v>Activité normale</v>
      </c>
    </row>
    <row r="33" spans="1:10" hidden="1" x14ac:dyDescent="0.45">
      <c r="A33">
        <v>17</v>
      </c>
      <c r="B33" t="s">
        <v>19</v>
      </c>
      <c r="C33" t="s">
        <v>20</v>
      </c>
      <c r="D33">
        <v>2025</v>
      </c>
      <c r="E33">
        <v>1</v>
      </c>
      <c r="F33" t="s">
        <v>11</v>
      </c>
      <c r="G33">
        <v>151</v>
      </c>
      <c r="H33">
        <v>80</v>
      </c>
      <c r="I33">
        <v>6.8</v>
      </c>
      <c r="J33" t="str">
        <f t="shared" si="0"/>
        <v>Activité normale</v>
      </c>
    </row>
    <row r="34" spans="1:10" hidden="1" x14ac:dyDescent="0.45">
      <c r="A34">
        <v>18</v>
      </c>
      <c r="B34" t="s">
        <v>19</v>
      </c>
      <c r="C34" t="s">
        <v>20</v>
      </c>
      <c r="D34">
        <v>2025</v>
      </c>
      <c r="E34">
        <v>1</v>
      </c>
      <c r="F34" t="s">
        <v>12</v>
      </c>
      <c r="G34">
        <v>376</v>
      </c>
      <c r="H34">
        <v>208</v>
      </c>
      <c r="I34">
        <v>8.3000000000000007</v>
      </c>
      <c r="J34" t="str">
        <f t="shared" si="0"/>
        <v>Activité normale</v>
      </c>
    </row>
    <row r="35" spans="1:10" hidden="1" x14ac:dyDescent="0.45">
      <c r="A35">
        <v>19</v>
      </c>
      <c r="B35" t="s">
        <v>19</v>
      </c>
      <c r="C35" t="s">
        <v>20</v>
      </c>
      <c r="D35">
        <v>2025</v>
      </c>
      <c r="E35">
        <v>1</v>
      </c>
      <c r="F35" t="s">
        <v>13</v>
      </c>
      <c r="G35">
        <v>183</v>
      </c>
      <c r="H35">
        <v>139</v>
      </c>
      <c r="I35">
        <v>3.7</v>
      </c>
      <c r="J35" t="str">
        <f t="shared" si="0"/>
        <v>Activité normale</v>
      </c>
    </row>
    <row r="36" spans="1:10" hidden="1" x14ac:dyDescent="0.45">
      <c r="A36">
        <v>20</v>
      </c>
      <c r="B36" t="s">
        <v>19</v>
      </c>
      <c r="C36" t="s">
        <v>20</v>
      </c>
      <c r="D36">
        <v>2025</v>
      </c>
      <c r="E36">
        <v>1</v>
      </c>
      <c r="F36" t="s">
        <v>14</v>
      </c>
      <c r="G36">
        <v>453</v>
      </c>
      <c r="H36">
        <v>267</v>
      </c>
      <c r="I36">
        <v>4.5</v>
      </c>
      <c r="J36" t="str">
        <f t="shared" si="0"/>
        <v>Activité normale</v>
      </c>
    </row>
    <row r="37" spans="1:10" x14ac:dyDescent="0.45">
      <c r="A37">
        <v>21</v>
      </c>
      <c r="B37" t="s">
        <v>21</v>
      </c>
      <c r="C37" t="s">
        <v>22</v>
      </c>
      <c r="D37">
        <v>2025</v>
      </c>
      <c r="E37">
        <v>1</v>
      </c>
      <c r="F37" t="s">
        <v>11</v>
      </c>
      <c r="G37">
        <v>294</v>
      </c>
      <c r="H37">
        <v>215</v>
      </c>
      <c r="I37">
        <v>7.1</v>
      </c>
      <c r="J37" t="str">
        <f t="shared" si="0"/>
        <v>Activité normale</v>
      </c>
    </row>
    <row r="38" spans="1:10" x14ac:dyDescent="0.45">
      <c r="A38">
        <v>22</v>
      </c>
      <c r="B38" t="s">
        <v>21</v>
      </c>
      <c r="C38" t="s">
        <v>22</v>
      </c>
      <c r="D38">
        <v>2025</v>
      </c>
      <c r="E38">
        <v>1</v>
      </c>
      <c r="F38" t="s">
        <v>12</v>
      </c>
      <c r="G38">
        <v>153</v>
      </c>
      <c r="H38">
        <v>153</v>
      </c>
      <c r="I38">
        <v>6.6</v>
      </c>
      <c r="J38" t="str">
        <f t="shared" si="0"/>
        <v>Activité normale</v>
      </c>
    </row>
    <row r="39" spans="1:10" x14ac:dyDescent="0.45">
      <c r="A39">
        <v>23</v>
      </c>
      <c r="B39" t="s">
        <v>21</v>
      </c>
      <c r="C39" t="s">
        <v>22</v>
      </c>
      <c r="D39">
        <v>2025</v>
      </c>
      <c r="E39">
        <v>1</v>
      </c>
      <c r="F39" t="s">
        <v>13</v>
      </c>
      <c r="G39">
        <v>626</v>
      </c>
      <c r="H39">
        <v>438</v>
      </c>
      <c r="I39">
        <v>2.8</v>
      </c>
      <c r="J39" t="str">
        <f t="shared" si="0"/>
        <v>Activité élevée</v>
      </c>
    </row>
    <row r="40" spans="1:10" x14ac:dyDescent="0.45">
      <c r="A40">
        <v>24</v>
      </c>
      <c r="B40" t="s">
        <v>21</v>
      </c>
      <c r="C40" t="s">
        <v>22</v>
      </c>
      <c r="D40">
        <v>2025</v>
      </c>
      <c r="E40">
        <v>1</v>
      </c>
      <c r="F40" t="s">
        <v>14</v>
      </c>
      <c r="G40">
        <v>468</v>
      </c>
      <c r="H40">
        <v>303</v>
      </c>
      <c r="I40">
        <v>9.4</v>
      </c>
      <c r="J40" t="str">
        <f t="shared" si="0"/>
        <v>Activité normale</v>
      </c>
    </row>
    <row r="41" spans="1:10" x14ac:dyDescent="0.45">
      <c r="A41">
        <v>25</v>
      </c>
      <c r="B41" t="s">
        <v>9</v>
      </c>
      <c r="C41" t="s">
        <v>10</v>
      </c>
      <c r="D41">
        <v>2025</v>
      </c>
      <c r="E41">
        <v>2</v>
      </c>
      <c r="F41" t="s">
        <v>11</v>
      </c>
      <c r="G41">
        <v>650</v>
      </c>
      <c r="H41">
        <v>437</v>
      </c>
      <c r="I41">
        <v>7</v>
      </c>
      <c r="J41" t="str">
        <f t="shared" si="0"/>
        <v>Activité élevée</v>
      </c>
    </row>
    <row r="42" spans="1:10" x14ac:dyDescent="0.45">
      <c r="A42">
        <v>26</v>
      </c>
      <c r="B42" t="s">
        <v>9</v>
      </c>
      <c r="C42" t="s">
        <v>10</v>
      </c>
      <c r="D42">
        <v>2025</v>
      </c>
      <c r="E42">
        <v>2</v>
      </c>
      <c r="F42" t="s">
        <v>12</v>
      </c>
      <c r="G42">
        <v>137</v>
      </c>
      <c r="H42">
        <v>97</v>
      </c>
      <c r="I42">
        <v>8.1</v>
      </c>
      <c r="J42" t="str">
        <f t="shared" si="0"/>
        <v>Activité normale</v>
      </c>
    </row>
    <row r="43" spans="1:10" x14ac:dyDescent="0.45">
      <c r="A43">
        <v>27</v>
      </c>
      <c r="B43" t="s">
        <v>9</v>
      </c>
      <c r="C43" t="s">
        <v>10</v>
      </c>
      <c r="D43">
        <v>2025</v>
      </c>
      <c r="E43">
        <v>2</v>
      </c>
      <c r="F43" t="s">
        <v>13</v>
      </c>
      <c r="G43">
        <v>403</v>
      </c>
      <c r="H43">
        <v>303</v>
      </c>
      <c r="I43">
        <v>3.6</v>
      </c>
      <c r="J43" t="str">
        <f t="shared" si="0"/>
        <v>Activité normale</v>
      </c>
    </row>
    <row r="44" spans="1:10" x14ac:dyDescent="0.45">
      <c r="A44">
        <v>28</v>
      </c>
      <c r="B44" t="s">
        <v>9</v>
      </c>
      <c r="C44" t="s">
        <v>10</v>
      </c>
      <c r="D44">
        <v>2025</v>
      </c>
      <c r="E44">
        <v>2</v>
      </c>
      <c r="F44" t="s">
        <v>14</v>
      </c>
      <c r="G44">
        <v>296</v>
      </c>
      <c r="H44">
        <v>293</v>
      </c>
      <c r="I44">
        <v>8.5</v>
      </c>
      <c r="J44" t="str">
        <f t="shared" si="0"/>
        <v>Activité normale</v>
      </c>
    </row>
    <row r="45" spans="1:10" x14ac:dyDescent="0.45">
      <c r="A45">
        <v>29</v>
      </c>
      <c r="B45" t="s">
        <v>15</v>
      </c>
      <c r="C45" t="s">
        <v>10</v>
      </c>
      <c r="D45">
        <v>2025</v>
      </c>
      <c r="E45">
        <v>2</v>
      </c>
      <c r="F45" t="s">
        <v>11</v>
      </c>
      <c r="G45">
        <v>402</v>
      </c>
      <c r="H45">
        <v>255</v>
      </c>
      <c r="I45">
        <v>6.7</v>
      </c>
      <c r="J45" t="str">
        <f t="shared" si="0"/>
        <v>Activité normale</v>
      </c>
    </row>
    <row r="46" spans="1:10" x14ac:dyDescent="0.45">
      <c r="A46">
        <v>30</v>
      </c>
      <c r="B46" t="s">
        <v>15</v>
      </c>
      <c r="C46" t="s">
        <v>10</v>
      </c>
      <c r="D46">
        <v>2025</v>
      </c>
      <c r="E46">
        <v>2</v>
      </c>
      <c r="F46" t="s">
        <v>12</v>
      </c>
      <c r="G46">
        <v>485</v>
      </c>
      <c r="H46">
        <v>468</v>
      </c>
      <c r="I46">
        <v>8.8000000000000007</v>
      </c>
      <c r="J46" t="str">
        <f t="shared" si="0"/>
        <v>Activité normale</v>
      </c>
    </row>
    <row r="47" spans="1:10" x14ac:dyDescent="0.45">
      <c r="A47">
        <v>31</v>
      </c>
      <c r="B47" t="s">
        <v>15</v>
      </c>
      <c r="C47" t="s">
        <v>10</v>
      </c>
      <c r="D47">
        <v>2025</v>
      </c>
      <c r="E47">
        <v>2</v>
      </c>
      <c r="F47" t="s">
        <v>13</v>
      </c>
      <c r="G47">
        <v>549</v>
      </c>
      <c r="H47">
        <v>347</v>
      </c>
      <c r="I47">
        <v>3.6</v>
      </c>
      <c r="J47" t="str">
        <f t="shared" si="0"/>
        <v>Activité élevée</v>
      </c>
    </row>
    <row r="48" spans="1:10" x14ac:dyDescent="0.45">
      <c r="A48">
        <v>32</v>
      </c>
      <c r="B48" t="s">
        <v>15</v>
      </c>
      <c r="C48" t="s">
        <v>10</v>
      </c>
      <c r="D48">
        <v>2025</v>
      </c>
      <c r="E48">
        <v>2</v>
      </c>
      <c r="F48" t="s">
        <v>14</v>
      </c>
      <c r="G48">
        <v>332</v>
      </c>
      <c r="H48">
        <v>309</v>
      </c>
      <c r="I48">
        <v>5.8</v>
      </c>
      <c r="J48" t="str">
        <f t="shared" si="0"/>
        <v>Activité normale</v>
      </c>
    </row>
    <row r="49" spans="1:10" x14ac:dyDescent="0.45">
      <c r="A49">
        <v>33</v>
      </c>
      <c r="B49" t="s">
        <v>16</v>
      </c>
      <c r="C49" t="s">
        <v>17</v>
      </c>
      <c r="D49">
        <v>2025</v>
      </c>
      <c r="E49">
        <v>2</v>
      </c>
      <c r="F49" t="s">
        <v>11</v>
      </c>
      <c r="G49">
        <v>518</v>
      </c>
      <c r="H49">
        <v>463</v>
      </c>
      <c r="I49">
        <v>4.4000000000000004</v>
      </c>
      <c r="J49" t="str">
        <f t="shared" si="0"/>
        <v>Activité élevée</v>
      </c>
    </row>
    <row r="50" spans="1:10" x14ac:dyDescent="0.45">
      <c r="A50">
        <v>34</v>
      </c>
      <c r="B50" t="s">
        <v>16</v>
      </c>
      <c r="C50" t="s">
        <v>17</v>
      </c>
      <c r="D50">
        <v>2025</v>
      </c>
      <c r="E50">
        <v>2</v>
      </c>
      <c r="F50" t="s">
        <v>12</v>
      </c>
      <c r="G50">
        <v>221</v>
      </c>
      <c r="H50">
        <v>175</v>
      </c>
      <c r="I50">
        <v>5.4</v>
      </c>
      <c r="J50" t="str">
        <f t="shared" si="0"/>
        <v>Activité normale</v>
      </c>
    </row>
    <row r="51" spans="1:10" x14ac:dyDescent="0.45">
      <c r="A51">
        <v>35</v>
      </c>
      <c r="B51" t="s">
        <v>16</v>
      </c>
      <c r="C51" t="s">
        <v>17</v>
      </c>
      <c r="D51">
        <v>2025</v>
      </c>
      <c r="E51">
        <v>2</v>
      </c>
      <c r="F51" t="s">
        <v>13</v>
      </c>
      <c r="G51">
        <v>128</v>
      </c>
      <c r="H51">
        <v>78</v>
      </c>
      <c r="I51">
        <v>2.7</v>
      </c>
      <c r="J51" t="str">
        <f t="shared" si="0"/>
        <v>Activité normale</v>
      </c>
    </row>
    <row r="52" spans="1:10" x14ac:dyDescent="0.45">
      <c r="A52">
        <v>36</v>
      </c>
      <c r="B52" t="s">
        <v>16</v>
      </c>
      <c r="C52" t="s">
        <v>17</v>
      </c>
      <c r="D52">
        <v>2025</v>
      </c>
      <c r="E52">
        <v>2</v>
      </c>
      <c r="F52" t="s">
        <v>14</v>
      </c>
      <c r="G52">
        <v>243</v>
      </c>
      <c r="H52">
        <v>222</v>
      </c>
      <c r="I52">
        <v>6.9</v>
      </c>
      <c r="J52" t="str">
        <f t="shared" si="0"/>
        <v>Activité normale</v>
      </c>
    </row>
    <row r="53" spans="1:10" x14ac:dyDescent="0.45">
      <c r="A53">
        <v>37</v>
      </c>
      <c r="B53" t="s">
        <v>18</v>
      </c>
      <c r="C53" t="s">
        <v>17</v>
      </c>
      <c r="D53">
        <v>2025</v>
      </c>
      <c r="E53">
        <v>2</v>
      </c>
      <c r="F53" t="s">
        <v>11</v>
      </c>
      <c r="G53">
        <v>145</v>
      </c>
      <c r="H53">
        <v>121</v>
      </c>
      <c r="I53">
        <v>4.5999999999999996</v>
      </c>
      <c r="J53" t="str">
        <f t="shared" si="0"/>
        <v>Activité normale</v>
      </c>
    </row>
    <row r="54" spans="1:10" x14ac:dyDescent="0.45">
      <c r="A54">
        <v>38</v>
      </c>
      <c r="B54" t="s">
        <v>18</v>
      </c>
      <c r="C54" t="s">
        <v>17</v>
      </c>
      <c r="D54">
        <v>2025</v>
      </c>
      <c r="E54">
        <v>2</v>
      </c>
      <c r="F54" t="s">
        <v>12</v>
      </c>
      <c r="G54">
        <v>559</v>
      </c>
      <c r="H54">
        <v>549</v>
      </c>
      <c r="I54">
        <v>3.5</v>
      </c>
      <c r="J54" t="str">
        <f t="shared" si="0"/>
        <v>Activité élevée</v>
      </c>
    </row>
    <row r="55" spans="1:10" x14ac:dyDescent="0.45">
      <c r="A55">
        <v>39</v>
      </c>
      <c r="B55" t="s">
        <v>18</v>
      </c>
      <c r="C55" t="s">
        <v>17</v>
      </c>
      <c r="D55">
        <v>2025</v>
      </c>
      <c r="E55">
        <v>2</v>
      </c>
      <c r="F55" t="s">
        <v>13</v>
      </c>
      <c r="G55">
        <v>646</v>
      </c>
      <c r="H55">
        <v>328</v>
      </c>
      <c r="I55">
        <v>6.9</v>
      </c>
      <c r="J55" t="str">
        <f t="shared" si="0"/>
        <v>Activité élevée</v>
      </c>
    </row>
    <row r="56" spans="1:10" x14ac:dyDescent="0.45">
      <c r="A56">
        <v>40</v>
      </c>
      <c r="B56" t="s">
        <v>18</v>
      </c>
      <c r="C56" t="s">
        <v>17</v>
      </c>
      <c r="D56">
        <v>2025</v>
      </c>
      <c r="E56">
        <v>2</v>
      </c>
      <c r="F56" t="s">
        <v>14</v>
      </c>
      <c r="G56">
        <v>197</v>
      </c>
      <c r="H56">
        <v>185</v>
      </c>
      <c r="I56">
        <v>8.6</v>
      </c>
      <c r="J56" t="str">
        <f t="shared" si="0"/>
        <v>Activité normale</v>
      </c>
    </row>
    <row r="57" spans="1:10" hidden="1" x14ac:dyDescent="0.45">
      <c r="A57">
        <v>41</v>
      </c>
      <c r="B57" t="s">
        <v>19</v>
      </c>
      <c r="C57" t="s">
        <v>20</v>
      </c>
      <c r="D57">
        <v>2025</v>
      </c>
      <c r="E57">
        <v>2</v>
      </c>
      <c r="F57" t="s">
        <v>11</v>
      </c>
      <c r="G57">
        <v>353</v>
      </c>
      <c r="H57">
        <v>340</v>
      </c>
      <c r="I57">
        <v>4.2</v>
      </c>
      <c r="J57" t="str">
        <f t="shared" si="0"/>
        <v>Activité normale</v>
      </c>
    </row>
    <row r="58" spans="1:10" hidden="1" x14ac:dyDescent="0.45">
      <c r="A58">
        <v>42</v>
      </c>
      <c r="B58" t="s">
        <v>19</v>
      </c>
      <c r="C58" t="s">
        <v>20</v>
      </c>
      <c r="D58">
        <v>2025</v>
      </c>
      <c r="E58">
        <v>2</v>
      </c>
      <c r="F58" t="s">
        <v>12</v>
      </c>
      <c r="G58">
        <v>380</v>
      </c>
      <c r="H58">
        <v>301</v>
      </c>
      <c r="I58">
        <v>2.8</v>
      </c>
      <c r="J58" t="str">
        <f t="shared" si="0"/>
        <v>Activité normale</v>
      </c>
    </row>
    <row r="59" spans="1:10" hidden="1" x14ac:dyDescent="0.45">
      <c r="A59">
        <v>43</v>
      </c>
      <c r="B59" t="s">
        <v>19</v>
      </c>
      <c r="C59" t="s">
        <v>20</v>
      </c>
      <c r="D59">
        <v>2025</v>
      </c>
      <c r="E59">
        <v>2</v>
      </c>
      <c r="F59" t="s">
        <v>13</v>
      </c>
      <c r="G59">
        <v>83</v>
      </c>
      <c r="H59">
        <v>57</v>
      </c>
      <c r="I59">
        <v>9.3000000000000007</v>
      </c>
      <c r="J59" t="str">
        <f t="shared" si="0"/>
        <v>Activité normale</v>
      </c>
    </row>
    <row r="60" spans="1:10" hidden="1" x14ac:dyDescent="0.45">
      <c r="A60">
        <v>44</v>
      </c>
      <c r="B60" t="s">
        <v>19</v>
      </c>
      <c r="C60" t="s">
        <v>20</v>
      </c>
      <c r="D60">
        <v>2025</v>
      </c>
      <c r="E60">
        <v>2</v>
      </c>
      <c r="F60" t="s">
        <v>14</v>
      </c>
      <c r="G60">
        <v>262</v>
      </c>
      <c r="H60">
        <v>260</v>
      </c>
      <c r="I60">
        <v>8.8000000000000007</v>
      </c>
      <c r="J60" t="str">
        <f t="shared" si="0"/>
        <v>Activité normale</v>
      </c>
    </row>
    <row r="61" spans="1:10" x14ac:dyDescent="0.45">
      <c r="A61">
        <v>45</v>
      </c>
      <c r="B61" t="s">
        <v>21</v>
      </c>
      <c r="C61" t="s">
        <v>22</v>
      </c>
      <c r="D61">
        <v>2025</v>
      </c>
      <c r="E61">
        <v>2</v>
      </c>
      <c r="F61" t="s">
        <v>11</v>
      </c>
      <c r="G61">
        <v>385</v>
      </c>
      <c r="H61">
        <v>355</v>
      </c>
      <c r="I61">
        <v>5.6</v>
      </c>
      <c r="J61" t="str">
        <f t="shared" si="0"/>
        <v>Activité normale</v>
      </c>
    </row>
    <row r="62" spans="1:10" x14ac:dyDescent="0.45">
      <c r="A62">
        <v>46</v>
      </c>
      <c r="B62" t="s">
        <v>21</v>
      </c>
      <c r="C62" t="s">
        <v>22</v>
      </c>
      <c r="D62">
        <v>2025</v>
      </c>
      <c r="E62">
        <v>2</v>
      </c>
      <c r="F62" t="s">
        <v>12</v>
      </c>
      <c r="G62">
        <v>283</v>
      </c>
      <c r="H62">
        <v>180</v>
      </c>
      <c r="I62">
        <v>4.5</v>
      </c>
      <c r="J62" t="str">
        <f t="shared" si="0"/>
        <v>Activité normale</v>
      </c>
    </row>
    <row r="63" spans="1:10" x14ac:dyDescent="0.45">
      <c r="A63">
        <v>47</v>
      </c>
      <c r="B63" t="s">
        <v>21</v>
      </c>
      <c r="C63" t="s">
        <v>22</v>
      </c>
      <c r="D63">
        <v>2025</v>
      </c>
      <c r="E63">
        <v>2</v>
      </c>
      <c r="F63" t="s">
        <v>13</v>
      </c>
      <c r="G63">
        <v>245</v>
      </c>
      <c r="H63">
        <v>191</v>
      </c>
      <c r="I63">
        <v>9.1</v>
      </c>
      <c r="J63" t="str">
        <f t="shared" si="0"/>
        <v>Activité normale</v>
      </c>
    </row>
    <row r="64" spans="1:10" x14ac:dyDescent="0.45">
      <c r="A64">
        <v>48</v>
      </c>
      <c r="B64" t="s">
        <v>21</v>
      </c>
      <c r="C64" t="s">
        <v>22</v>
      </c>
      <c r="D64">
        <v>2025</v>
      </c>
      <c r="E64">
        <v>2</v>
      </c>
      <c r="F64" t="s">
        <v>14</v>
      </c>
      <c r="G64">
        <v>623</v>
      </c>
      <c r="H64">
        <v>311</v>
      </c>
      <c r="I64">
        <v>6.3</v>
      </c>
      <c r="J64" t="str">
        <f t="shared" si="0"/>
        <v>Activité élevée</v>
      </c>
    </row>
    <row r="65" spans="1:10" x14ac:dyDescent="0.45">
      <c r="A65">
        <v>49</v>
      </c>
      <c r="B65" t="s">
        <v>9</v>
      </c>
      <c r="C65" t="s">
        <v>10</v>
      </c>
      <c r="D65">
        <v>2025</v>
      </c>
      <c r="E65">
        <v>3</v>
      </c>
      <c r="F65" t="s">
        <v>11</v>
      </c>
      <c r="G65">
        <v>580</v>
      </c>
      <c r="H65">
        <v>299</v>
      </c>
      <c r="I65">
        <v>2.4</v>
      </c>
      <c r="J65" t="str">
        <f t="shared" si="0"/>
        <v>Activité élevée</v>
      </c>
    </row>
    <row r="66" spans="1:10" x14ac:dyDescent="0.45">
      <c r="A66">
        <v>50</v>
      </c>
      <c r="B66" t="s">
        <v>9</v>
      </c>
      <c r="C66" t="s">
        <v>10</v>
      </c>
      <c r="D66">
        <v>2025</v>
      </c>
      <c r="E66">
        <v>3</v>
      </c>
      <c r="F66" t="s">
        <v>12</v>
      </c>
      <c r="G66">
        <v>451</v>
      </c>
      <c r="H66">
        <v>449</v>
      </c>
      <c r="I66">
        <v>9.4</v>
      </c>
      <c r="J66" t="str">
        <f t="shared" si="0"/>
        <v>Activité normale</v>
      </c>
    </row>
    <row r="67" spans="1:10" x14ac:dyDescent="0.45">
      <c r="A67">
        <v>51</v>
      </c>
      <c r="B67" t="s">
        <v>9</v>
      </c>
      <c r="C67" t="s">
        <v>10</v>
      </c>
      <c r="D67">
        <v>2025</v>
      </c>
      <c r="E67">
        <v>3</v>
      </c>
      <c r="F67" t="s">
        <v>13</v>
      </c>
      <c r="G67">
        <v>394</v>
      </c>
      <c r="H67">
        <v>258</v>
      </c>
      <c r="I67">
        <v>2</v>
      </c>
      <c r="J67" t="str">
        <f t="shared" si="0"/>
        <v>Activité normale</v>
      </c>
    </row>
    <row r="68" spans="1:10" x14ac:dyDescent="0.45">
      <c r="A68">
        <v>52</v>
      </c>
      <c r="B68" t="s">
        <v>9</v>
      </c>
      <c r="C68" t="s">
        <v>10</v>
      </c>
      <c r="D68">
        <v>2025</v>
      </c>
      <c r="E68">
        <v>3</v>
      </c>
      <c r="F68" t="s">
        <v>14</v>
      </c>
      <c r="G68">
        <v>160</v>
      </c>
      <c r="H68">
        <v>90</v>
      </c>
      <c r="I68">
        <v>7.4</v>
      </c>
      <c r="J68" t="str">
        <f t="shared" si="0"/>
        <v>Activité normale</v>
      </c>
    </row>
    <row r="69" spans="1:10" x14ac:dyDescent="0.45">
      <c r="A69">
        <v>53</v>
      </c>
      <c r="B69" t="s">
        <v>15</v>
      </c>
      <c r="C69" t="s">
        <v>10</v>
      </c>
      <c r="D69">
        <v>2025</v>
      </c>
      <c r="E69">
        <v>3</v>
      </c>
      <c r="F69" t="s">
        <v>11</v>
      </c>
      <c r="G69">
        <v>150</v>
      </c>
      <c r="H69">
        <v>143</v>
      </c>
      <c r="I69">
        <v>7.6</v>
      </c>
      <c r="J69" t="str">
        <f t="shared" si="0"/>
        <v>Activité normale</v>
      </c>
    </row>
    <row r="70" spans="1:10" x14ac:dyDescent="0.45">
      <c r="A70">
        <v>54</v>
      </c>
      <c r="B70" t="s">
        <v>15</v>
      </c>
      <c r="C70" t="s">
        <v>10</v>
      </c>
      <c r="D70">
        <v>2025</v>
      </c>
      <c r="E70">
        <v>3</v>
      </c>
      <c r="F70" t="s">
        <v>12</v>
      </c>
      <c r="G70">
        <v>211</v>
      </c>
      <c r="H70">
        <v>189</v>
      </c>
      <c r="I70">
        <v>5.3</v>
      </c>
      <c r="J70" t="str">
        <f t="shared" si="0"/>
        <v>Activité normale</v>
      </c>
    </row>
    <row r="71" spans="1:10" x14ac:dyDescent="0.45">
      <c r="A71">
        <v>55</v>
      </c>
      <c r="B71" t="s">
        <v>15</v>
      </c>
      <c r="C71" t="s">
        <v>10</v>
      </c>
      <c r="D71">
        <v>2025</v>
      </c>
      <c r="E71">
        <v>3</v>
      </c>
      <c r="F71" t="s">
        <v>13</v>
      </c>
      <c r="G71">
        <v>642</v>
      </c>
      <c r="H71">
        <v>405</v>
      </c>
      <c r="I71">
        <v>3.6</v>
      </c>
      <c r="J71" t="str">
        <f t="shared" si="0"/>
        <v>Activité élevée</v>
      </c>
    </row>
    <row r="72" spans="1:10" x14ac:dyDescent="0.45">
      <c r="A72">
        <v>56</v>
      </c>
      <c r="B72" t="s">
        <v>15</v>
      </c>
      <c r="C72" t="s">
        <v>10</v>
      </c>
      <c r="D72">
        <v>2025</v>
      </c>
      <c r="E72">
        <v>3</v>
      </c>
      <c r="F72" t="s">
        <v>14</v>
      </c>
      <c r="G72">
        <v>513</v>
      </c>
      <c r="H72">
        <v>364</v>
      </c>
      <c r="I72">
        <v>8.9</v>
      </c>
      <c r="J72" t="str">
        <f t="shared" si="0"/>
        <v>Activité élevée</v>
      </c>
    </row>
    <row r="73" spans="1:10" x14ac:dyDescent="0.45">
      <c r="A73">
        <v>57</v>
      </c>
      <c r="B73" t="s">
        <v>16</v>
      </c>
      <c r="C73" t="s">
        <v>17</v>
      </c>
      <c r="D73">
        <v>2025</v>
      </c>
      <c r="E73">
        <v>3</v>
      </c>
      <c r="F73" t="s">
        <v>11</v>
      </c>
      <c r="G73">
        <v>285</v>
      </c>
      <c r="H73">
        <v>221</v>
      </c>
      <c r="I73">
        <v>4.7</v>
      </c>
      <c r="J73" t="str">
        <f t="shared" si="0"/>
        <v>Activité normale</v>
      </c>
    </row>
    <row r="74" spans="1:10" x14ac:dyDescent="0.45">
      <c r="A74">
        <v>58</v>
      </c>
      <c r="B74" t="s">
        <v>16</v>
      </c>
      <c r="C74" t="s">
        <v>17</v>
      </c>
      <c r="D74">
        <v>2025</v>
      </c>
      <c r="E74">
        <v>3</v>
      </c>
      <c r="F74" t="s">
        <v>12</v>
      </c>
      <c r="G74">
        <v>462</v>
      </c>
      <c r="H74">
        <v>343</v>
      </c>
      <c r="I74">
        <v>8.6999999999999993</v>
      </c>
      <c r="J74" t="str">
        <f t="shared" si="0"/>
        <v>Activité normale</v>
      </c>
    </row>
    <row r="75" spans="1:10" x14ac:dyDescent="0.45">
      <c r="A75">
        <v>59</v>
      </c>
      <c r="B75" t="s">
        <v>16</v>
      </c>
      <c r="C75" t="s">
        <v>17</v>
      </c>
      <c r="D75">
        <v>2025</v>
      </c>
      <c r="E75">
        <v>3</v>
      </c>
      <c r="F75" t="s">
        <v>13</v>
      </c>
      <c r="G75">
        <v>542</v>
      </c>
      <c r="H75">
        <v>332</v>
      </c>
      <c r="I75">
        <v>3.5</v>
      </c>
      <c r="J75" t="str">
        <f t="shared" si="0"/>
        <v>Activité élevée</v>
      </c>
    </row>
    <row r="76" spans="1:10" x14ac:dyDescent="0.45">
      <c r="A76">
        <v>60</v>
      </c>
      <c r="B76" t="s">
        <v>16</v>
      </c>
      <c r="C76" t="s">
        <v>17</v>
      </c>
      <c r="D76">
        <v>2025</v>
      </c>
      <c r="E76">
        <v>3</v>
      </c>
      <c r="F76" t="s">
        <v>14</v>
      </c>
      <c r="G76">
        <v>145</v>
      </c>
      <c r="H76">
        <v>115</v>
      </c>
      <c r="I76">
        <v>1.7</v>
      </c>
      <c r="J76" t="str">
        <f t="shared" si="0"/>
        <v>Activité normale</v>
      </c>
    </row>
    <row r="77" spans="1:10" x14ac:dyDescent="0.45">
      <c r="A77">
        <v>61</v>
      </c>
      <c r="B77" t="s">
        <v>18</v>
      </c>
      <c r="C77" t="s">
        <v>17</v>
      </c>
      <c r="D77">
        <v>2025</v>
      </c>
      <c r="E77">
        <v>3</v>
      </c>
      <c r="F77" t="s">
        <v>11</v>
      </c>
      <c r="G77">
        <v>647</v>
      </c>
      <c r="H77">
        <v>440</v>
      </c>
      <c r="I77">
        <v>6.2</v>
      </c>
      <c r="J77" t="str">
        <f t="shared" si="0"/>
        <v>Activité élevée</v>
      </c>
    </row>
    <row r="78" spans="1:10" x14ac:dyDescent="0.45">
      <c r="A78">
        <v>62</v>
      </c>
      <c r="B78" t="s">
        <v>18</v>
      </c>
      <c r="C78" t="s">
        <v>17</v>
      </c>
      <c r="D78">
        <v>2025</v>
      </c>
      <c r="E78">
        <v>3</v>
      </c>
      <c r="F78" t="s">
        <v>12</v>
      </c>
      <c r="G78">
        <v>87</v>
      </c>
      <c r="H78">
        <v>47</v>
      </c>
      <c r="I78">
        <v>7.2</v>
      </c>
      <c r="J78" t="str">
        <f t="shared" si="0"/>
        <v>Activité normale</v>
      </c>
    </row>
    <row r="79" spans="1:10" x14ac:dyDescent="0.45">
      <c r="A79">
        <v>63</v>
      </c>
      <c r="B79" t="s">
        <v>18</v>
      </c>
      <c r="C79" t="s">
        <v>17</v>
      </c>
      <c r="D79">
        <v>2025</v>
      </c>
      <c r="E79">
        <v>3</v>
      </c>
      <c r="F79" t="s">
        <v>13</v>
      </c>
      <c r="G79">
        <v>140</v>
      </c>
      <c r="H79">
        <v>99</v>
      </c>
      <c r="I79">
        <v>2</v>
      </c>
      <c r="J79" t="str">
        <f t="shared" si="0"/>
        <v>Activité normale</v>
      </c>
    </row>
    <row r="80" spans="1:10" x14ac:dyDescent="0.45">
      <c r="A80">
        <v>64</v>
      </c>
      <c r="B80" t="s">
        <v>18</v>
      </c>
      <c r="C80" t="s">
        <v>17</v>
      </c>
      <c r="D80">
        <v>2025</v>
      </c>
      <c r="E80">
        <v>3</v>
      </c>
      <c r="F80" t="s">
        <v>14</v>
      </c>
      <c r="G80">
        <v>112</v>
      </c>
      <c r="H80">
        <v>111</v>
      </c>
      <c r="I80">
        <v>4.0999999999999996</v>
      </c>
      <c r="J80" t="str">
        <f t="shared" si="0"/>
        <v>Activité normale</v>
      </c>
    </row>
    <row r="81" spans="1:10" hidden="1" x14ac:dyDescent="0.45">
      <c r="A81">
        <v>65</v>
      </c>
      <c r="B81" t="s">
        <v>19</v>
      </c>
      <c r="C81" t="s">
        <v>20</v>
      </c>
      <c r="D81">
        <v>2025</v>
      </c>
      <c r="E81">
        <v>3</v>
      </c>
      <c r="F81" t="s">
        <v>11</v>
      </c>
      <c r="G81">
        <v>606</v>
      </c>
      <c r="H81">
        <v>424</v>
      </c>
      <c r="I81">
        <v>3.7</v>
      </c>
      <c r="J81" t="str">
        <f t="shared" si="0"/>
        <v>Activité élevée</v>
      </c>
    </row>
    <row r="82" spans="1:10" hidden="1" x14ac:dyDescent="0.45">
      <c r="A82">
        <v>66</v>
      </c>
      <c r="B82" t="s">
        <v>19</v>
      </c>
      <c r="C82" t="s">
        <v>20</v>
      </c>
      <c r="D82">
        <v>2025</v>
      </c>
      <c r="E82">
        <v>3</v>
      </c>
      <c r="F82" t="s">
        <v>12</v>
      </c>
      <c r="G82">
        <v>577</v>
      </c>
      <c r="H82">
        <v>397</v>
      </c>
      <c r="I82">
        <v>5.8</v>
      </c>
      <c r="J82" t="str">
        <f t="shared" ref="J82:J145" si="1">IF(G82&gt;500,"Activité élevée","Activité normale")</f>
        <v>Activité élevée</v>
      </c>
    </row>
    <row r="83" spans="1:10" hidden="1" x14ac:dyDescent="0.45">
      <c r="A83">
        <v>67</v>
      </c>
      <c r="B83" t="s">
        <v>19</v>
      </c>
      <c r="C83" t="s">
        <v>20</v>
      </c>
      <c r="D83">
        <v>2025</v>
      </c>
      <c r="E83">
        <v>3</v>
      </c>
      <c r="F83" t="s">
        <v>13</v>
      </c>
      <c r="G83">
        <v>564</v>
      </c>
      <c r="H83">
        <v>406</v>
      </c>
      <c r="I83">
        <v>7.8</v>
      </c>
      <c r="J83" t="str">
        <f t="shared" si="1"/>
        <v>Activité élevée</v>
      </c>
    </row>
    <row r="84" spans="1:10" hidden="1" x14ac:dyDescent="0.45">
      <c r="A84">
        <v>68</v>
      </c>
      <c r="B84" t="s">
        <v>19</v>
      </c>
      <c r="C84" t="s">
        <v>20</v>
      </c>
      <c r="D84">
        <v>2025</v>
      </c>
      <c r="E84">
        <v>3</v>
      </c>
      <c r="F84" t="s">
        <v>14</v>
      </c>
      <c r="G84">
        <v>496</v>
      </c>
      <c r="H84">
        <v>296</v>
      </c>
      <c r="I84">
        <v>2.2999999999999998</v>
      </c>
      <c r="J84" t="str">
        <f t="shared" si="1"/>
        <v>Activité normale</v>
      </c>
    </row>
    <row r="85" spans="1:10" x14ac:dyDescent="0.45">
      <c r="A85">
        <v>69</v>
      </c>
      <c r="B85" t="s">
        <v>21</v>
      </c>
      <c r="C85" t="s">
        <v>22</v>
      </c>
      <c r="D85">
        <v>2025</v>
      </c>
      <c r="E85">
        <v>3</v>
      </c>
      <c r="F85" t="s">
        <v>11</v>
      </c>
      <c r="G85">
        <v>521</v>
      </c>
      <c r="H85">
        <v>441</v>
      </c>
      <c r="I85">
        <v>4.9000000000000004</v>
      </c>
      <c r="J85" t="str">
        <f t="shared" si="1"/>
        <v>Activité élevée</v>
      </c>
    </row>
    <row r="86" spans="1:10" x14ac:dyDescent="0.45">
      <c r="A86">
        <v>70</v>
      </c>
      <c r="B86" t="s">
        <v>21</v>
      </c>
      <c r="C86" t="s">
        <v>22</v>
      </c>
      <c r="D86">
        <v>2025</v>
      </c>
      <c r="E86">
        <v>3</v>
      </c>
      <c r="F86" t="s">
        <v>12</v>
      </c>
      <c r="G86">
        <v>558</v>
      </c>
      <c r="H86">
        <v>306</v>
      </c>
      <c r="I86">
        <v>6.9</v>
      </c>
      <c r="J86" t="str">
        <f t="shared" si="1"/>
        <v>Activité élevée</v>
      </c>
    </row>
    <row r="87" spans="1:10" x14ac:dyDescent="0.45">
      <c r="A87">
        <v>71</v>
      </c>
      <c r="B87" t="s">
        <v>21</v>
      </c>
      <c r="C87" t="s">
        <v>22</v>
      </c>
      <c r="D87">
        <v>2025</v>
      </c>
      <c r="E87">
        <v>3</v>
      </c>
      <c r="F87" t="s">
        <v>13</v>
      </c>
      <c r="G87">
        <v>180</v>
      </c>
      <c r="H87">
        <v>97</v>
      </c>
      <c r="I87">
        <v>4.7</v>
      </c>
      <c r="J87" t="str">
        <f t="shared" si="1"/>
        <v>Activité normale</v>
      </c>
    </row>
    <row r="88" spans="1:10" x14ac:dyDescent="0.45">
      <c r="A88">
        <v>72</v>
      </c>
      <c r="B88" t="s">
        <v>21</v>
      </c>
      <c r="C88" t="s">
        <v>22</v>
      </c>
      <c r="D88">
        <v>2025</v>
      </c>
      <c r="E88">
        <v>3</v>
      </c>
      <c r="F88" t="s">
        <v>14</v>
      </c>
      <c r="G88">
        <v>427</v>
      </c>
      <c r="H88">
        <v>417</v>
      </c>
      <c r="I88">
        <v>8.4</v>
      </c>
      <c r="J88" t="str">
        <f t="shared" si="1"/>
        <v>Activité normale</v>
      </c>
    </row>
    <row r="89" spans="1:10" x14ac:dyDescent="0.45">
      <c r="A89">
        <v>73</v>
      </c>
      <c r="B89" t="s">
        <v>9</v>
      </c>
      <c r="C89" t="s">
        <v>10</v>
      </c>
      <c r="D89">
        <v>2025</v>
      </c>
      <c r="E89">
        <v>4</v>
      </c>
      <c r="F89" t="s">
        <v>11</v>
      </c>
      <c r="G89">
        <v>334</v>
      </c>
      <c r="H89">
        <v>216</v>
      </c>
      <c r="I89">
        <v>3</v>
      </c>
      <c r="J89" t="str">
        <f t="shared" si="1"/>
        <v>Activité normale</v>
      </c>
    </row>
    <row r="90" spans="1:10" x14ac:dyDescent="0.45">
      <c r="A90">
        <v>74</v>
      </c>
      <c r="B90" t="s">
        <v>9</v>
      </c>
      <c r="C90" t="s">
        <v>10</v>
      </c>
      <c r="D90">
        <v>2025</v>
      </c>
      <c r="E90">
        <v>4</v>
      </c>
      <c r="F90" t="s">
        <v>12</v>
      </c>
      <c r="G90">
        <v>539</v>
      </c>
      <c r="H90">
        <v>340</v>
      </c>
      <c r="I90">
        <v>4.9000000000000004</v>
      </c>
      <c r="J90" t="str">
        <f t="shared" si="1"/>
        <v>Activité élevée</v>
      </c>
    </row>
    <row r="91" spans="1:10" x14ac:dyDescent="0.45">
      <c r="A91">
        <v>75</v>
      </c>
      <c r="B91" t="s">
        <v>9</v>
      </c>
      <c r="C91" t="s">
        <v>10</v>
      </c>
      <c r="D91">
        <v>2025</v>
      </c>
      <c r="E91">
        <v>4</v>
      </c>
      <c r="F91" t="s">
        <v>13</v>
      </c>
      <c r="G91">
        <v>365</v>
      </c>
      <c r="H91">
        <v>300</v>
      </c>
      <c r="I91">
        <v>3.5</v>
      </c>
      <c r="J91" t="str">
        <f t="shared" si="1"/>
        <v>Activité normale</v>
      </c>
    </row>
    <row r="92" spans="1:10" x14ac:dyDescent="0.45">
      <c r="A92">
        <v>76</v>
      </c>
      <c r="B92" t="s">
        <v>9</v>
      </c>
      <c r="C92" t="s">
        <v>10</v>
      </c>
      <c r="D92">
        <v>2025</v>
      </c>
      <c r="E92">
        <v>4</v>
      </c>
      <c r="F92" t="s">
        <v>14</v>
      </c>
      <c r="G92">
        <v>157</v>
      </c>
      <c r="H92">
        <v>134</v>
      </c>
      <c r="I92">
        <v>8</v>
      </c>
      <c r="J92" t="str">
        <f t="shared" si="1"/>
        <v>Activité normale</v>
      </c>
    </row>
    <row r="93" spans="1:10" x14ac:dyDescent="0.45">
      <c r="A93">
        <v>77</v>
      </c>
      <c r="B93" t="s">
        <v>15</v>
      </c>
      <c r="C93" t="s">
        <v>10</v>
      </c>
      <c r="D93">
        <v>2025</v>
      </c>
      <c r="E93">
        <v>4</v>
      </c>
      <c r="F93" t="s">
        <v>11</v>
      </c>
      <c r="G93">
        <v>643</v>
      </c>
      <c r="H93">
        <v>371</v>
      </c>
      <c r="I93">
        <v>1.9</v>
      </c>
      <c r="J93" t="str">
        <f t="shared" si="1"/>
        <v>Activité élevée</v>
      </c>
    </row>
    <row r="94" spans="1:10" x14ac:dyDescent="0.45">
      <c r="A94">
        <v>78</v>
      </c>
      <c r="B94" t="s">
        <v>15</v>
      </c>
      <c r="C94" t="s">
        <v>10</v>
      </c>
      <c r="D94">
        <v>2025</v>
      </c>
      <c r="E94">
        <v>4</v>
      </c>
      <c r="F94" t="s">
        <v>12</v>
      </c>
      <c r="G94">
        <v>633</v>
      </c>
      <c r="H94">
        <v>323</v>
      </c>
      <c r="I94">
        <v>9.3000000000000007</v>
      </c>
      <c r="J94" t="str">
        <f t="shared" si="1"/>
        <v>Activité élevée</v>
      </c>
    </row>
    <row r="95" spans="1:10" x14ac:dyDescent="0.45">
      <c r="A95">
        <v>79</v>
      </c>
      <c r="B95" t="s">
        <v>15</v>
      </c>
      <c r="C95" t="s">
        <v>10</v>
      </c>
      <c r="D95">
        <v>2025</v>
      </c>
      <c r="E95">
        <v>4</v>
      </c>
      <c r="F95" t="s">
        <v>13</v>
      </c>
      <c r="G95">
        <v>322</v>
      </c>
      <c r="H95">
        <v>203</v>
      </c>
      <c r="I95">
        <v>4.8</v>
      </c>
      <c r="J95" t="str">
        <f t="shared" si="1"/>
        <v>Activité normale</v>
      </c>
    </row>
    <row r="96" spans="1:10" x14ac:dyDescent="0.45">
      <c r="A96">
        <v>80</v>
      </c>
      <c r="B96" t="s">
        <v>15</v>
      </c>
      <c r="C96" t="s">
        <v>10</v>
      </c>
      <c r="D96">
        <v>2025</v>
      </c>
      <c r="E96">
        <v>4</v>
      </c>
      <c r="F96" t="s">
        <v>14</v>
      </c>
      <c r="G96">
        <v>572</v>
      </c>
      <c r="H96">
        <v>395</v>
      </c>
      <c r="I96">
        <v>8.4</v>
      </c>
      <c r="J96" t="str">
        <f t="shared" si="1"/>
        <v>Activité élevée</v>
      </c>
    </row>
    <row r="97" spans="1:10" x14ac:dyDescent="0.45">
      <c r="A97">
        <v>81</v>
      </c>
      <c r="B97" t="s">
        <v>16</v>
      </c>
      <c r="C97" t="s">
        <v>17</v>
      </c>
      <c r="D97">
        <v>2025</v>
      </c>
      <c r="E97">
        <v>4</v>
      </c>
      <c r="F97" t="s">
        <v>11</v>
      </c>
      <c r="G97">
        <v>140</v>
      </c>
      <c r="H97">
        <v>91</v>
      </c>
      <c r="I97">
        <v>4.5</v>
      </c>
      <c r="J97" t="str">
        <f t="shared" si="1"/>
        <v>Activité normale</v>
      </c>
    </row>
    <row r="98" spans="1:10" x14ac:dyDescent="0.45">
      <c r="A98">
        <v>82</v>
      </c>
      <c r="B98" t="s">
        <v>16</v>
      </c>
      <c r="C98" t="s">
        <v>17</v>
      </c>
      <c r="D98">
        <v>2025</v>
      </c>
      <c r="E98">
        <v>4</v>
      </c>
      <c r="F98" t="s">
        <v>12</v>
      </c>
      <c r="G98">
        <v>479</v>
      </c>
      <c r="H98">
        <v>306</v>
      </c>
      <c r="I98">
        <v>8.9</v>
      </c>
      <c r="J98" t="str">
        <f t="shared" si="1"/>
        <v>Activité normale</v>
      </c>
    </row>
    <row r="99" spans="1:10" x14ac:dyDescent="0.45">
      <c r="A99">
        <v>83</v>
      </c>
      <c r="B99" t="s">
        <v>16</v>
      </c>
      <c r="C99" t="s">
        <v>17</v>
      </c>
      <c r="D99">
        <v>2025</v>
      </c>
      <c r="E99">
        <v>4</v>
      </c>
      <c r="F99" t="s">
        <v>13</v>
      </c>
      <c r="G99">
        <v>545</v>
      </c>
      <c r="H99">
        <v>418</v>
      </c>
      <c r="I99">
        <v>4.9000000000000004</v>
      </c>
      <c r="J99" t="str">
        <f t="shared" si="1"/>
        <v>Activité élevée</v>
      </c>
    </row>
    <row r="100" spans="1:10" x14ac:dyDescent="0.45">
      <c r="A100">
        <v>84</v>
      </c>
      <c r="B100" t="s">
        <v>16</v>
      </c>
      <c r="C100" t="s">
        <v>17</v>
      </c>
      <c r="D100">
        <v>2025</v>
      </c>
      <c r="E100">
        <v>4</v>
      </c>
      <c r="F100" t="s">
        <v>14</v>
      </c>
      <c r="G100">
        <v>649</v>
      </c>
      <c r="H100">
        <v>573</v>
      </c>
      <c r="I100">
        <v>2.7</v>
      </c>
      <c r="J100" t="str">
        <f t="shared" si="1"/>
        <v>Activité élevée</v>
      </c>
    </row>
    <row r="101" spans="1:10" x14ac:dyDescent="0.45">
      <c r="A101">
        <v>85</v>
      </c>
      <c r="B101" t="s">
        <v>18</v>
      </c>
      <c r="C101" t="s">
        <v>17</v>
      </c>
      <c r="D101">
        <v>2025</v>
      </c>
      <c r="E101">
        <v>4</v>
      </c>
      <c r="F101" t="s">
        <v>11</v>
      </c>
      <c r="G101">
        <v>383</v>
      </c>
      <c r="H101">
        <v>246</v>
      </c>
      <c r="I101">
        <v>9.1999999999999993</v>
      </c>
      <c r="J101" t="str">
        <f t="shared" si="1"/>
        <v>Activité normale</v>
      </c>
    </row>
    <row r="102" spans="1:10" x14ac:dyDescent="0.45">
      <c r="A102">
        <v>86</v>
      </c>
      <c r="B102" t="s">
        <v>18</v>
      </c>
      <c r="C102" t="s">
        <v>17</v>
      </c>
      <c r="D102">
        <v>2025</v>
      </c>
      <c r="E102">
        <v>4</v>
      </c>
      <c r="F102" t="s">
        <v>12</v>
      </c>
      <c r="G102">
        <v>635</v>
      </c>
      <c r="H102">
        <v>348</v>
      </c>
      <c r="I102">
        <v>7.5</v>
      </c>
      <c r="J102" t="str">
        <f t="shared" si="1"/>
        <v>Activité élevée</v>
      </c>
    </row>
    <row r="103" spans="1:10" x14ac:dyDescent="0.45">
      <c r="A103">
        <v>87</v>
      </c>
      <c r="B103" t="s">
        <v>18</v>
      </c>
      <c r="C103" t="s">
        <v>17</v>
      </c>
      <c r="D103">
        <v>2025</v>
      </c>
      <c r="E103">
        <v>4</v>
      </c>
      <c r="F103" t="s">
        <v>13</v>
      </c>
      <c r="G103">
        <v>138</v>
      </c>
      <c r="H103">
        <v>75</v>
      </c>
      <c r="I103">
        <v>6.2</v>
      </c>
      <c r="J103" t="str">
        <f t="shared" si="1"/>
        <v>Activité normale</v>
      </c>
    </row>
    <row r="104" spans="1:10" x14ac:dyDescent="0.45">
      <c r="A104">
        <v>88</v>
      </c>
      <c r="B104" t="s">
        <v>18</v>
      </c>
      <c r="C104" t="s">
        <v>17</v>
      </c>
      <c r="D104">
        <v>2025</v>
      </c>
      <c r="E104">
        <v>4</v>
      </c>
      <c r="F104" t="s">
        <v>14</v>
      </c>
      <c r="G104">
        <v>594</v>
      </c>
      <c r="H104">
        <v>568</v>
      </c>
      <c r="I104">
        <v>2.8</v>
      </c>
      <c r="J104" t="str">
        <f t="shared" si="1"/>
        <v>Activité élevée</v>
      </c>
    </row>
    <row r="105" spans="1:10" hidden="1" x14ac:dyDescent="0.45">
      <c r="A105">
        <v>89</v>
      </c>
      <c r="B105" t="s">
        <v>19</v>
      </c>
      <c r="C105" t="s">
        <v>20</v>
      </c>
      <c r="D105">
        <v>2025</v>
      </c>
      <c r="E105">
        <v>4</v>
      </c>
      <c r="F105" t="s">
        <v>11</v>
      </c>
      <c r="G105">
        <v>600</v>
      </c>
      <c r="H105">
        <v>341</v>
      </c>
      <c r="I105">
        <v>8.3000000000000007</v>
      </c>
      <c r="J105" t="str">
        <f t="shared" si="1"/>
        <v>Activité élevée</v>
      </c>
    </row>
    <row r="106" spans="1:10" hidden="1" x14ac:dyDescent="0.45">
      <c r="A106">
        <v>90</v>
      </c>
      <c r="B106" t="s">
        <v>19</v>
      </c>
      <c r="C106" t="s">
        <v>20</v>
      </c>
      <c r="D106">
        <v>2025</v>
      </c>
      <c r="E106">
        <v>4</v>
      </c>
      <c r="F106" t="s">
        <v>12</v>
      </c>
      <c r="G106">
        <v>150</v>
      </c>
      <c r="H106">
        <v>83</v>
      </c>
      <c r="I106">
        <v>6.9</v>
      </c>
      <c r="J106" t="str">
        <f t="shared" si="1"/>
        <v>Activité normale</v>
      </c>
    </row>
    <row r="107" spans="1:10" hidden="1" x14ac:dyDescent="0.45">
      <c r="A107">
        <v>91</v>
      </c>
      <c r="B107" t="s">
        <v>19</v>
      </c>
      <c r="C107" t="s">
        <v>20</v>
      </c>
      <c r="D107">
        <v>2025</v>
      </c>
      <c r="E107">
        <v>4</v>
      </c>
      <c r="F107" t="s">
        <v>13</v>
      </c>
      <c r="G107">
        <v>320</v>
      </c>
      <c r="H107">
        <v>263</v>
      </c>
      <c r="I107">
        <v>2.5</v>
      </c>
      <c r="J107" t="str">
        <f t="shared" si="1"/>
        <v>Activité normale</v>
      </c>
    </row>
    <row r="108" spans="1:10" hidden="1" x14ac:dyDescent="0.45">
      <c r="A108">
        <v>92</v>
      </c>
      <c r="B108" t="s">
        <v>19</v>
      </c>
      <c r="C108" t="s">
        <v>20</v>
      </c>
      <c r="D108">
        <v>2025</v>
      </c>
      <c r="E108">
        <v>4</v>
      </c>
      <c r="F108" t="s">
        <v>14</v>
      </c>
      <c r="G108">
        <v>332</v>
      </c>
      <c r="H108">
        <v>314</v>
      </c>
      <c r="I108">
        <v>6.3</v>
      </c>
      <c r="J108" t="str">
        <f t="shared" si="1"/>
        <v>Activité normale</v>
      </c>
    </row>
    <row r="109" spans="1:10" x14ac:dyDescent="0.45">
      <c r="A109">
        <v>93</v>
      </c>
      <c r="B109" t="s">
        <v>21</v>
      </c>
      <c r="C109" t="s">
        <v>22</v>
      </c>
      <c r="D109">
        <v>2025</v>
      </c>
      <c r="E109">
        <v>4</v>
      </c>
      <c r="F109" t="s">
        <v>11</v>
      </c>
      <c r="G109">
        <v>163</v>
      </c>
      <c r="H109">
        <v>134</v>
      </c>
      <c r="I109">
        <v>6.8</v>
      </c>
      <c r="J109" t="str">
        <f t="shared" si="1"/>
        <v>Activité normale</v>
      </c>
    </row>
    <row r="110" spans="1:10" x14ac:dyDescent="0.45">
      <c r="A110">
        <v>94</v>
      </c>
      <c r="B110" t="s">
        <v>21</v>
      </c>
      <c r="C110" t="s">
        <v>22</v>
      </c>
      <c r="D110">
        <v>2025</v>
      </c>
      <c r="E110">
        <v>4</v>
      </c>
      <c r="F110" t="s">
        <v>12</v>
      </c>
      <c r="G110">
        <v>615</v>
      </c>
      <c r="H110">
        <v>468</v>
      </c>
      <c r="I110">
        <v>9</v>
      </c>
      <c r="J110" t="str">
        <f t="shared" si="1"/>
        <v>Activité élevée</v>
      </c>
    </row>
    <row r="111" spans="1:10" x14ac:dyDescent="0.45">
      <c r="A111">
        <v>95</v>
      </c>
      <c r="B111" t="s">
        <v>21</v>
      </c>
      <c r="C111" t="s">
        <v>22</v>
      </c>
      <c r="D111">
        <v>2025</v>
      </c>
      <c r="E111">
        <v>4</v>
      </c>
      <c r="F111" t="s">
        <v>13</v>
      </c>
      <c r="G111">
        <v>289</v>
      </c>
      <c r="H111">
        <v>224</v>
      </c>
      <c r="I111">
        <v>3.4</v>
      </c>
      <c r="J111" t="str">
        <f t="shared" si="1"/>
        <v>Activité normale</v>
      </c>
    </row>
    <row r="112" spans="1:10" x14ac:dyDescent="0.45">
      <c r="A112">
        <v>96</v>
      </c>
      <c r="B112" t="s">
        <v>21</v>
      </c>
      <c r="C112" t="s">
        <v>22</v>
      </c>
      <c r="D112">
        <v>2025</v>
      </c>
      <c r="E112">
        <v>4</v>
      </c>
      <c r="F112" t="s">
        <v>14</v>
      </c>
      <c r="G112">
        <v>485</v>
      </c>
      <c r="H112">
        <v>275</v>
      </c>
      <c r="I112">
        <v>6.9</v>
      </c>
      <c r="J112" t="str">
        <f t="shared" si="1"/>
        <v>Activité normale</v>
      </c>
    </row>
    <row r="113" spans="1:10" x14ac:dyDescent="0.45">
      <c r="A113">
        <v>97</v>
      </c>
      <c r="B113" t="s">
        <v>9</v>
      </c>
      <c r="C113" t="s">
        <v>10</v>
      </c>
      <c r="D113">
        <v>2025</v>
      </c>
      <c r="E113">
        <v>5</v>
      </c>
      <c r="F113" t="s">
        <v>11</v>
      </c>
      <c r="G113">
        <v>387</v>
      </c>
      <c r="H113">
        <v>310</v>
      </c>
      <c r="I113">
        <v>4</v>
      </c>
      <c r="J113" t="str">
        <f t="shared" si="1"/>
        <v>Activité normale</v>
      </c>
    </row>
    <row r="114" spans="1:10" x14ac:dyDescent="0.45">
      <c r="A114">
        <v>98</v>
      </c>
      <c r="B114" t="s">
        <v>9</v>
      </c>
      <c r="C114" t="s">
        <v>10</v>
      </c>
      <c r="D114">
        <v>2025</v>
      </c>
      <c r="E114">
        <v>5</v>
      </c>
      <c r="F114" t="s">
        <v>12</v>
      </c>
      <c r="G114">
        <v>154</v>
      </c>
      <c r="H114">
        <v>78</v>
      </c>
      <c r="I114">
        <v>5.2</v>
      </c>
      <c r="J114" t="str">
        <f t="shared" si="1"/>
        <v>Activité normale</v>
      </c>
    </row>
    <row r="115" spans="1:10" x14ac:dyDescent="0.45">
      <c r="A115">
        <v>99</v>
      </c>
      <c r="B115" t="s">
        <v>9</v>
      </c>
      <c r="C115" t="s">
        <v>10</v>
      </c>
      <c r="D115">
        <v>2025</v>
      </c>
      <c r="E115">
        <v>5</v>
      </c>
      <c r="F115" t="s">
        <v>13</v>
      </c>
      <c r="G115">
        <v>182</v>
      </c>
      <c r="H115">
        <v>100</v>
      </c>
      <c r="I115">
        <v>5.8</v>
      </c>
      <c r="J115" t="str">
        <f t="shared" si="1"/>
        <v>Activité normale</v>
      </c>
    </row>
    <row r="116" spans="1:10" x14ac:dyDescent="0.45">
      <c r="A116">
        <v>100</v>
      </c>
      <c r="B116" t="s">
        <v>9</v>
      </c>
      <c r="C116" t="s">
        <v>10</v>
      </c>
      <c r="D116">
        <v>2025</v>
      </c>
      <c r="E116">
        <v>5</v>
      </c>
      <c r="F116" t="s">
        <v>14</v>
      </c>
      <c r="G116">
        <v>598</v>
      </c>
      <c r="H116">
        <v>434</v>
      </c>
      <c r="I116">
        <v>2.6</v>
      </c>
      <c r="J116" t="str">
        <f t="shared" si="1"/>
        <v>Activité élevée</v>
      </c>
    </row>
    <row r="117" spans="1:10" x14ac:dyDescent="0.45">
      <c r="A117">
        <v>101</v>
      </c>
      <c r="B117" t="s">
        <v>15</v>
      </c>
      <c r="C117" t="s">
        <v>10</v>
      </c>
      <c r="D117">
        <v>2025</v>
      </c>
      <c r="E117">
        <v>5</v>
      </c>
      <c r="F117" t="s">
        <v>11</v>
      </c>
      <c r="G117">
        <v>437</v>
      </c>
      <c r="H117">
        <v>235</v>
      </c>
      <c r="I117">
        <v>8.5</v>
      </c>
      <c r="J117" t="str">
        <f t="shared" si="1"/>
        <v>Activité normale</v>
      </c>
    </row>
    <row r="118" spans="1:10" x14ac:dyDescent="0.45">
      <c r="A118">
        <v>102</v>
      </c>
      <c r="B118" t="s">
        <v>15</v>
      </c>
      <c r="C118" t="s">
        <v>10</v>
      </c>
      <c r="D118">
        <v>2025</v>
      </c>
      <c r="E118">
        <v>5</v>
      </c>
      <c r="F118" t="s">
        <v>12</v>
      </c>
      <c r="G118">
        <v>458</v>
      </c>
      <c r="H118">
        <v>301</v>
      </c>
      <c r="I118">
        <v>2.8</v>
      </c>
      <c r="J118" t="str">
        <f t="shared" si="1"/>
        <v>Activité normale</v>
      </c>
    </row>
    <row r="119" spans="1:10" x14ac:dyDescent="0.45">
      <c r="A119">
        <v>103</v>
      </c>
      <c r="B119" t="s">
        <v>15</v>
      </c>
      <c r="C119" t="s">
        <v>10</v>
      </c>
      <c r="D119">
        <v>2025</v>
      </c>
      <c r="E119">
        <v>5</v>
      </c>
      <c r="F119" t="s">
        <v>13</v>
      </c>
      <c r="G119">
        <v>636</v>
      </c>
      <c r="H119">
        <v>472</v>
      </c>
      <c r="I119">
        <v>6.4</v>
      </c>
      <c r="J119" t="str">
        <f t="shared" si="1"/>
        <v>Activité élevée</v>
      </c>
    </row>
    <row r="120" spans="1:10" x14ac:dyDescent="0.45">
      <c r="A120">
        <v>104</v>
      </c>
      <c r="B120" t="s">
        <v>15</v>
      </c>
      <c r="C120" t="s">
        <v>10</v>
      </c>
      <c r="D120">
        <v>2025</v>
      </c>
      <c r="E120">
        <v>5</v>
      </c>
      <c r="F120" t="s">
        <v>14</v>
      </c>
      <c r="G120">
        <v>621</v>
      </c>
      <c r="H120">
        <v>314</v>
      </c>
      <c r="I120">
        <v>6.8</v>
      </c>
      <c r="J120" t="str">
        <f t="shared" si="1"/>
        <v>Activité élevée</v>
      </c>
    </row>
    <row r="121" spans="1:10" x14ac:dyDescent="0.45">
      <c r="A121">
        <v>105</v>
      </c>
      <c r="B121" t="s">
        <v>16</v>
      </c>
      <c r="C121" t="s">
        <v>17</v>
      </c>
      <c r="D121">
        <v>2025</v>
      </c>
      <c r="E121">
        <v>5</v>
      </c>
      <c r="F121" t="s">
        <v>11</v>
      </c>
      <c r="G121">
        <v>647</v>
      </c>
      <c r="H121">
        <v>476</v>
      </c>
      <c r="I121">
        <v>9</v>
      </c>
      <c r="J121" t="str">
        <f t="shared" si="1"/>
        <v>Activité élevée</v>
      </c>
    </row>
    <row r="122" spans="1:10" x14ac:dyDescent="0.45">
      <c r="A122">
        <v>106</v>
      </c>
      <c r="B122" t="s">
        <v>16</v>
      </c>
      <c r="C122" t="s">
        <v>17</v>
      </c>
      <c r="D122">
        <v>2025</v>
      </c>
      <c r="E122">
        <v>5</v>
      </c>
      <c r="F122" t="s">
        <v>12</v>
      </c>
      <c r="G122">
        <v>186</v>
      </c>
      <c r="H122">
        <v>110</v>
      </c>
      <c r="I122">
        <v>3.6</v>
      </c>
      <c r="J122" t="str">
        <f t="shared" si="1"/>
        <v>Activité normale</v>
      </c>
    </row>
    <row r="123" spans="1:10" x14ac:dyDescent="0.45">
      <c r="A123">
        <v>107</v>
      </c>
      <c r="B123" t="s">
        <v>16</v>
      </c>
      <c r="C123" t="s">
        <v>17</v>
      </c>
      <c r="D123">
        <v>2025</v>
      </c>
      <c r="E123">
        <v>5</v>
      </c>
      <c r="F123" t="s">
        <v>13</v>
      </c>
      <c r="G123">
        <v>189</v>
      </c>
      <c r="H123">
        <v>189</v>
      </c>
      <c r="I123">
        <v>5.9</v>
      </c>
      <c r="J123" t="str">
        <f t="shared" si="1"/>
        <v>Activité normale</v>
      </c>
    </row>
    <row r="124" spans="1:10" x14ac:dyDescent="0.45">
      <c r="A124">
        <v>108</v>
      </c>
      <c r="B124" t="s">
        <v>16</v>
      </c>
      <c r="C124" t="s">
        <v>17</v>
      </c>
      <c r="D124">
        <v>2025</v>
      </c>
      <c r="E124">
        <v>5</v>
      </c>
      <c r="F124" t="s">
        <v>14</v>
      </c>
      <c r="G124">
        <v>358</v>
      </c>
      <c r="H124">
        <v>251</v>
      </c>
      <c r="I124">
        <v>6.3</v>
      </c>
      <c r="J124" t="str">
        <f t="shared" si="1"/>
        <v>Activité normale</v>
      </c>
    </row>
    <row r="125" spans="1:10" x14ac:dyDescent="0.45">
      <c r="A125">
        <v>109</v>
      </c>
      <c r="B125" t="s">
        <v>18</v>
      </c>
      <c r="C125" t="s">
        <v>17</v>
      </c>
      <c r="D125">
        <v>2025</v>
      </c>
      <c r="E125">
        <v>5</v>
      </c>
      <c r="F125" t="s">
        <v>11</v>
      </c>
      <c r="G125">
        <v>431</v>
      </c>
      <c r="H125">
        <v>267</v>
      </c>
      <c r="I125">
        <v>7</v>
      </c>
      <c r="J125" t="str">
        <f t="shared" si="1"/>
        <v>Activité normale</v>
      </c>
    </row>
    <row r="126" spans="1:10" x14ac:dyDescent="0.45">
      <c r="A126">
        <v>110</v>
      </c>
      <c r="B126" t="s">
        <v>18</v>
      </c>
      <c r="C126" t="s">
        <v>17</v>
      </c>
      <c r="D126">
        <v>2025</v>
      </c>
      <c r="E126">
        <v>5</v>
      </c>
      <c r="F126" t="s">
        <v>12</v>
      </c>
      <c r="G126">
        <v>350</v>
      </c>
      <c r="H126">
        <v>304</v>
      </c>
      <c r="I126">
        <v>5.4</v>
      </c>
      <c r="J126" t="str">
        <f t="shared" si="1"/>
        <v>Activité normale</v>
      </c>
    </row>
    <row r="127" spans="1:10" x14ac:dyDescent="0.45">
      <c r="A127">
        <v>111</v>
      </c>
      <c r="B127" t="s">
        <v>18</v>
      </c>
      <c r="C127" t="s">
        <v>17</v>
      </c>
      <c r="D127">
        <v>2025</v>
      </c>
      <c r="E127">
        <v>5</v>
      </c>
      <c r="F127" t="s">
        <v>13</v>
      </c>
      <c r="G127">
        <v>132</v>
      </c>
      <c r="H127">
        <v>77</v>
      </c>
      <c r="I127">
        <v>6.6</v>
      </c>
      <c r="J127" t="str">
        <f t="shared" si="1"/>
        <v>Activité normale</v>
      </c>
    </row>
    <row r="128" spans="1:10" x14ac:dyDescent="0.45">
      <c r="A128">
        <v>112</v>
      </c>
      <c r="B128" t="s">
        <v>18</v>
      </c>
      <c r="C128" t="s">
        <v>17</v>
      </c>
      <c r="D128">
        <v>2025</v>
      </c>
      <c r="E128">
        <v>5</v>
      </c>
      <c r="F128" t="s">
        <v>14</v>
      </c>
      <c r="G128">
        <v>363</v>
      </c>
      <c r="H128">
        <v>192</v>
      </c>
      <c r="I128">
        <v>1.5</v>
      </c>
      <c r="J128" t="str">
        <f t="shared" si="1"/>
        <v>Activité normale</v>
      </c>
    </row>
    <row r="129" spans="1:10" hidden="1" x14ac:dyDescent="0.45">
      <c r="A129">
        <v>113</v>
      </c>
      <c r="B129" t="s">
        <v>19</v>
      </c>
      <c r="C129" t="s">
        <v>20</v>
      </c>
      <c r="D129">
        <v>2025</v>
      </c>
      <c r="E129">
        <v>5</v>
      </c>
      <c r="F129" t="s">
        <v>11</v>
      </c>
      <c r="G129">
        <v>213</v>
      </c>
      <c r="H129">
        <v>187</v>
      </c>
      <c r="I129">
        <v>9.3000000000000007</v>
      </c>
      <c r="J129" t="str">
        <f t="shared" si="1"/>
        <v>Activité normale</v>
      </c>
    </row>
    <row r="130" spans="1:10" hidden="1" x14ac:dyDescent="0.45">
      <c r="A130">
        <v>114</v>
      </c>
      <c r="B130" t="s">
        <v>19</v>
      </c>
      <c r="C130" t="s">
        <v>20</v>
      </c>
      <c r="D130">
        <v>2025</v>
      </c>
      <c r="E130">
        <v>5</v>
      </c>
      <c r="F130" t="s">
        <v>12</v>
      </c>
      <c r="G130">
        <v>245</v>
      </c>
      <c r="H130">
        <v>216</v>
      </c>
      <c r="I130">
        <v>5</v>
      </c>
      <c r="J130" t="str">
        <f t="shared" si="1"/>
        <v>Activité normale</v>
      </c>
    </row>
    <row r="131" spans="1:10" hidden="1" x14ac:dyDescent="0.45">
      <c r="A131">
        <v>115</v>
      </c>
      <c r="B131" t="s">
        <v>19</v>
      </c>
      <c r="C131" t="s">
        <v>20</v>
      </c>
      <c r="D131">
        <v>2025</v>
      </c>
      <c r="E131">
        <v>5</v>
      </c>
      <c r="F131" t="s">
        <v>13</v>
      </c>
      <c r="G131">
        <v>517</v>
      </c>
      <c r="H131">
        <v>262</v>
      </c>
      <c r="I131">
        <v>2.4</v>
      </c>
      <c r="J131" t="str">
        <f t="shared" si="1"/>
        <v>Activité élevée</v>
      </c>
    </row>
    <row r="132" spans="1:10" hidden="1" x14ac:dyDescent="0.45">
      <c r="A132">
        <v>116</v>
      </c>
      <c r="B132" t="s">
        <v>19</v>
      </c>
      <c r="C132" t="s">
        <v>20</v>
      </c>
      <c r="D132">
        <v>2025</v>
      </c>
      <c r="E132">
        <v>5</v>
      </c>
      <c r="F132" t="s">
        <v>14</v>
      </c>
      <c r="G132">
        <v>232</v>
      </c>
      <c r="H132">
        <v>185</v>
      </c>
      <c r="I132">
        <v>1.8</v>
      </c>
      <c r="J132" t="str">
        <f t="shared" si="1"/>
        <v>Activité normale</v>
      </c>
    </row>
    <row r="133" spans="1:10" x14ac:dyDescent="0.45">
      <c r="A133">
        <v>117</v>
      </c>
      <c r="B133" t="s">
        <v>21</v>
      </c>
      <c r="C133" t="s">
        <v>22</v>
      </c>
      <c r="D133">
        <v>2025</v>
      </c>
      <c r="E133">
        <v>5</v>
      </c>
      <c r="F133" t="s">
        <v>11</v>
      </c>
      <c r="G133">
        <v>458</v>
      </c>
      <c r="H133">
        <v>378</v>
      </c>
      <c r="I133">
        <v>5.9</v>
      </c>
      <c r="J133" t="str">
        <f t="shared" si="1"/>
        <v>Activité normale</v>
      </c>
    </row>
    <row r="134" spans="1:10" x14ac:dyDescent="0.45">
      <c r="A134">
        <v>118</v>
      </c>
      <c r="B134" t="s">
        <v>21</v>
      </c>
      <c r="C134" t="s">
        <v>22</v>
      </c>
      <c r="D134">
        <v>2025</v>
      </c>
      <c r="E134">
        <v>5</v>
      </c>
      <c r="F134" t="s">
        <v>12</v>
      </c>
      <c r="G134">
        <v>520</v>
      </c>
      <c r="H134">
        <v>325</v>
      </c>
      <c r="I134">
        <v>1.8</v>
      </c>
      <c r="J134" t="str">
        <f t="shared" si="1"/>
        <v>Activité élevée</v>
      </c>
    </row>
    <row r="135" spans="1:10" x14ac:dyDescent="0.45">
      <c r="A135">
        <v>119</v>
      </c>
      <c r="B135" t="s">
        <v>21</v>
      </c>
      <c r="C135" t="s">
        <v>22</v>
      </c>
      <c r="D135">
        <v>2025</v>
      </c>
      <c r="E135">
        <v>5</v>
      </c>
      <c r="F135" t="s">
        <v>13</v>
      </c>
      <c r="G135">
        <v>453</v>
      </c>
      <c r="H135">
        <v>429</v>
      </c>
      <c r="I135">
        <v>9.3000000000000007</v>
      </c>
      <c r="J135" t="str">
        <f t="shared" si="1"/>
        <v>Activité normale</v>
      </c>
    </row>
    <row r="136" spans="1:10" x14ac:dyDescent="0.45">
      <c r="A136">
        <v>120</v>
      </c>
      <c r="B136" t="s">
        <v>21</v>
      </c>
      <c r="C136" t="s">
        <v>22</v>
      </c>
      <c r="D136">
        <v>2025</v>
      </c>
      <c r="E136">
        <v>5</v>
      </c>
      <c r="F136" t="s">
        <v>14</v>
      </c>
      <c r="G136">
        <v>120</v>
      </c>
      <c r="H136">
        <v>117</v>
      </c>
      <c r="I136">
        <v>4.4000000000000004</v>
      </c>
      <c r="J136" t="str">
        <f t="shared" si="1"/>
        <v>Activité normale</v>
      </c>
    </row>
    <row r="137" spans="1:10" x14ac:dyDescent="0.45">
      <c r="A137">
        <v>121</v>
      </c>
      <c r="B137" t="s">
        <v>9</v>
      </c>
      <c r="C137" t="s">
        <v>10</v>
      </c>
      <c r="D137">
        <v>2025</v>
      </c>
      <c r="E137">
        <v>6</v>
      </c>
      <c r="F137" t="s">
        <v>11</v>
      </c>
      <c r="G137">
        <v>335</v>
      </c>
      <c r="H137">
        <v>193</v>
      </c>
      <c r="I137">
        <v>4.3</v>
      </c>
      <c r="J137" t="str">
        <f t="shared" si="1"/>
        <v>Activité normale</v>
      </c>
    </row>
    <row r="138" spans="1:10" x14ac:dyDescent="0.45">
      <c r="A138">
        <v>122</v>
      </c>
      <c r="B138" t="s">
        <v>9</v>
      </c>
      <c r="C138" t="s">
        <v>10</v>
      </c>
      <c r="D138">
        <v>2025</v>
      </c>
      <c r="E138">
        <v>6</v>
      </c>
      <c r="F138" t="s">
        <v>12</v>
      </c>
      <c r="G138">
        <v>496</v>
      </c>
      <c r="H138">
        <v>406</v>
      </c>
      <c r="I138">
        <v>7.5</v>
      </c>
      <c r="J138" t="str">
        <f t="shared" si="1"/>
        <v>Activité normale</v>
      </c>
    </row>
    <row r="139" spans="1:10" x14ac:dyDescent="0.45">
      <c r="A139">
        <v>123</v>
      </c>
      <c r="B139" t="s">
        <v>9</v>
      </c>
      <c r="C139" t="s">
        <v>10</v>
      </c>
      <c r="D139">
        <v>2025</v>
      </c>
      <c r="E139">
        <v>6</v>
      </c>
      <c r="F139" t="s">
        <v>13</v>
      </c>
      <c r="G139">
        <v>322</v>
      </c>
      <c r="H139">
        <v>202</v>
      </c>
      <c r="I139">
        <v>9.3000000000000007</v>
      </c>
      <c r="J139" t="str">
        <f t="shared" si="1"/>
        <v>Activité normale</v>
      </c>
    </row>
    <row r="140" spans="1:10" x14ac:dyDescent="0.45">
      <c r="A140">
        <v>124</v>
      </c>
      <c r="B140" t="s">
        <v>9</v>
      </c>
      <c r="C140" t="s">
        <v>10</v>
      </c>
      <c r="D140">
        <v>2025</v>
      </c>
      <c r="E140">
        <v>6</v>
      </c>
      <c r="F140" t="s">
        <v>14</v>
      </c>
      <c r="G140">
        <v>261</v>
      </c>
      <c r="H140">
        <v>235</v>
      </c>
      <c r="I140">
        <v>1.7</v>
      </c>
      <c r="J140" t="str">
        <f t="shared" si="1"/>
        <v>Activité normale</v>
      </c>
    </row>
    <row r="141" spans="1:10" x14ac:dyDescent="0.45">
      <c r="A141">
        <v>125</v>
      </c>
      <c r="B141" t="s">
        <v>15</v>
      </c>
      <c r="C141" t="s">
        <v>10</v>
      </c>
      <c r="D141">
        <v>2025</v>
      </c>
      <c r="E141">
        <v>6</v>
      </c>
      <c r="F141" t="s">
        <v>11</v>
      </c>
      <c r="G141">
        <v>420</v>
      </c>
      <c r="H141">
        <v>410</v>
      </c>
      <c r="I141">
        <v>8.9</v>
      </c>
      <c r="J141" t="str">
        <f t="shared" si="1"/>
        <v>Activité normale</v>
      </c>
    </row>
    <row r="142" spans="1:10" x14ac:dyDescent="0.45">
      <c r="A142">
        <v>126</v>
      </c>
      <c r="B142" t="s">
        <v>15</v>
      </c>
      <c r="C142" t="s">
        <v>10</v>
      </c>
      <c r="D142">
        <v>2025</v>
      </c>
      <c r="E142">
        <v>6</v>
      </c>
      <c r="F142" t="s">
        <v>12</v>
      </c>
      <c r="G142">
        <v>334</v>
      </c>
      <c r="H142">
        <v>235</v>
      </c>
      <c r="I142">
        <v>2.8</v>
      </c>
      <c r="J142" t="str">
        <f t="shared" si="1"/>
        <v>Activité normale</v>
      </c>
    </row>
    <row r="143" spans="1:10" x14ac:dyDescent="0.45">
      <c r="A143">
        <v>127</v>
      </c>
      <c r="B143" t="s">
        <v>15</v>
      </c>
      <c r="C143" t="s">
        <v>10</v>
      </c>
      <c r="D143">
        <v>2025</v>
      </c>
      <c r="E143">
        <v>6</v>
      </c>
      <c r="F143" t="s">
        <v>13</v>
      </c>
      <c r="G143">
        <v>190</v>
      </c>
      <c r="H143">
        <v>143</v>
      </c>
      <c r="I143">
        <v>8.5</v>
      </c>
      <c r="J143" t="str">
        <f t="shared" si="1"/>
        <v>Activité normale</v>
      </c>
    </row>
    <row r="144" spans="1:10" x14ac:dyDescent="0.45">
      <c r="A144">
        <v>128</v>
      </c>
      <c r="B144" t="s">
        <v>15</v>
      </c>
      <c r="C144" t="s">
        <v>10</v>
      </c>
      <c r="D144">
        <v>2025</v>
      </c>
      <c r="E144">
        <v>6</v>
      </c>
      <c r="F144" t="s">
        <v>14</v>
      </c>
      <c r="G144">
        <v>561</v>
      </c>
      <c r="H144">
        <v>393</v>
      </c>
      <c r="I144">
        <v>3.1</v>
      </c>
      <c r="J144" t="str">
        <f t="shared" si="1"/>
        <v>Activité élevée</v>
      </c>
    </row>
    <row r="145" spans="1:10" x14ac:dyDescent="0.45">
      <c r="A145">
        <v>129</v>
      </c>
      <c r="B145" t="s">
        <v>16</v>
      </c>
      <c r="C145" t="s">
        <v>17</v>
      </c>
      <c r="D145">
        <v>2025</v>
      </c>
      <c r="E145">
        <v>6</v>
      </c>
      <c r="F145" t="s">
        <v>11</v>
      </c>
      <c r="G145">
        <v>551</v>
      </c>
      <c r="H145">
        <v>454</v>
      </c>
      <c r="I145">
        <v>3.9</v>
      </c>
      <c r="J145" t="str">
        <f t="shared" si="1"/>
        <v>Activité élevée</v>
      </c>
    </row>
    <row r="146" spans="1:10" x14ac:dyDescent="0.45">
      <c r="A146">
        <v>130</v>
      </c>
      <c r="B146" t="s">
        <v>16</v>
      </c>
      <c r="C146" t="s">
        <v>17</v>
      </c>
      <c r="D146">
        <v>2025</v>
      </c>
      <c r="E146">
        <v>6</v>
      </c>
      <c r="F146" t="s">
        <v>12</v>
      </c>
      <c r="G146">
        <v>313</v>
      </c>
      <c r="H146">
        <v>213</v>
      </c>
      <c r="I146">
        <v>1.7</v>
      </c>
      <c r="J146" t="str">
        <f t="shared" ref="J146:J209" si="2">IF(G146&gt;500,"Activité élevée","Activité normale")</f>
        <v>Activité normale</v>
      </c>
    </row>
    <row r="147" spans="1:10" x14ac:dyDescent="0.45">
      <c r="A147">
        <v>131</v>
      </c>
      <c r="B147" t="s">
        <v>16</v>
      </c>
      <c r="C147" t="s">
        <v>17</v>
      </c>
      <c r="D147">
        <v>2025</v>
      </c>
      <c r="E147">
        <v>6</v>
      </c>
      <c r="F147" t="s">
        <v>13</v>
      </c>
      <c r="G147">
        <v>277</v>
      </c>
      <c r="H147">
        <v>240</v>
      </c>
      <c r="I147">
        <v>4.0999999999999996</v>
      </c>
      <c r="J147" t="str">
        <f t="shared" si="2"/>
        <v>Activité normale</v>
      </c>
    </row>
    <row r="148" spans="1:10" x14ac:dyDescent="0.45">
      <c r="A148">
        <v>132</v>
      </c>
      <c r="B148" t="s">
        <v>16</v>
      </c>
      <c r="C148" t="s">
        <v>17</v>
      </c>
      <c r="D148">
        <v>2025</v>
      </c>
      <c r="E148">
        <v>6</v>
      </c>
      <c r="F148" t="s">
        <v>14</v>
      </c>
      <c r="G148">
        <v>151</v>
      </c>
      <c r="H148">
        <v>110</v>
      </c>
      <c r="I148">
        <v>4.3</v>
      </c>
      <c r="J148" t="str">
        <f t="shared" si="2"/>
        <v>Activité normale</v>
      </c>
    </row>
    <row r="149" spans="1:10" x14ac:dyDescent="0.45">
      <c r="A149">
        <v>133</v>
      </c>
      <c r="B149" t="s">
        <v>18</v>
      </c>
      <c r="C149" t="s">
        <v>17</v>
      </c>
      <c r="D149">
        <v>2025</v>
      </c>
      <c r="E149">
        <v>6</v>
      </c>
      <c r="F149" t="s">
        <v>11</v>
      </c>
      <c r="G149">
        <v>601</v>
      </c>
      <c r="H149">
        <v>504</v>
      </c>
      <c r="I149">
        <v>6.9</v>
      </c>
      <c r="J149" t="str">
        <f t="shared" si="2"/>
        <v>Activité élevée</v>
      </c>
    </row>
    <row r="150" spans="1:10" x14ac:dyDescent="0.45">
      <c r="A150">
        <v>134</v>
      </c>
      <c r="B150" t="s">
        <v>18</v>
      </c>
      <c r="C150" t="s">
        <v>17</v>
      </c>
      <c r="D150">
        <v>2025</v>
      </c>
      <c r="E150">
        <v>6</v>
      </c>
      <c r="F150" t="s">
        <v>12</v>
      </c>
      <c r="G150">
        <v>629</v>
      </c>
      <c r="H150">
        <v>483</v>
      </c>
      <c r="I150">
        <v>9</v>
      </c>
      <c r="J150" t="str">
        <f t="shared" si="2"/>
        <v>Activité élevée</v>
      </c>
    </row>
    <row r="151" spans="1:10" x14ac:dyDescent="0.45">
      <c r="A151">
        <v>135</v>
      </c>
      <c r="B151" t="s">
        <v>18</v>
      </c>
      <c r="C151" t="s">
        <v>17</v>
      </c>
      <c r="D151">
        <v>2025</v>
      </c>
      <c r="E151">
        <v>6</v>
      </c>
      <c r="F151" t="s">
        <v>13</v>
      </c>
      <c r="G151">
        <v>198</v>
      </c>
      <c r="H151">
        <v>132</v>
      </c>
      <c r="I151">
        <v>2.9</v>
      </c>
      <c r="J151" t="str">
        <f t="shared" si="2"/>
        <v>Activité normale</v>
      </c>
    </row>
    <row r="152" spans="1:10" x14ac:dyDescent="0.45">
      <c r="A152">
        <v>136</v>
      </c>
      <c r="B152" t="s">
        <v>18</v>
      </c>
      <c r="C152" t="s">
        <v>17</v>
      </c>
      <c r="D152">
        <v>2025</v>
      </c>
      <c r="E152">
        <v>6</v>
      </c>
      <c r="F152" t="s">
        <v>14</v>
      </c>
      <c r="G152">
        <v>351</v>
      </c>
      <c r="H152">
        <v>184</v>
      </c>
      <c r="I152">
        <v>2.4</v>
      </c>
      <c r="J152" t="str">
        <f t="shared" si="2"/>
        <v>Activité normale</v>
      </c>
    </row>
    <row r="153" spans="1:10" hidden="1" x14ac:dyDescent="0.45">
      <c r="A153">
        <v>137</v>
      </c>
      <c r="B153" t="s">
        <v>19</v>
      </c>
      <c r="C153" t="s">
        <v>20</v>
      </c>
      <c r="D153">
        <v>2025</v>
      </c>
      <c r="E153">
        <v>6</v>
      </c>
      <c r="F153" t="s">
        <v>11</v>
      </c>
      <c r="G153">
        <v>524</v>
      </c>
      <c r="H153">
        <v>438</v>
      </c>
      <c r="I153">
        <v>7.3</v>
      </c>
      <c r="J153" t="str">
        <f t="shared" si="2"/>
        <v>Activité élevée</v>
      </c>
    </row>
    <row r="154" spans="1:10" hidden="1" x14ac:dyDescent="0.45">
      <c r="A154">
        <v>138</v>
      </c>
      <c r="B154" t="s">
        <v>19</v>
      </c>
      <c r="C154" t="s">
        <v>20</v>
      </c>
      <c r="D154">
        <v>2025</v>
      </c>
      <c r="E154">
        <v>6</v>
      </c>
      <c r="F154" t="s">
        <v>12</v>
      </c>
      <c r="G154">
        <v>401</v>
      </c>
      <c r="H154">
        <v>311</v>
      </c>
      <c r="I154">
        <v>6.3</v>
      </c>
      <c r="J154" t="str">
        <f t="shared" si="2"/>
        <v>Activité normale</v>
      </c>
    </row>
    <row r="155" spans="1:10" hidden="1" x14ac:dyDescent="0.45">
      <c r="A155">
        <v>139</v>
      </c>
      <c r="B155" t="s">
        <v>19</v>
      </c>
      <c r="C155" t="s">
        <v>20</v>
      </c>
      <c r="D155">
        <v>2025</v>
      </c>
      <c r="E155">
        <v>6</v>
      </c>
      <c r="F155" t="s">
        <v>13</v>
      </c>
      <c r="G155">
        <v>603</v>
      </c>
      <c r="H155">
        <v>360</v>
      </c>
      <c r="I155">
        <v>4.5999999999999996</v>
      </c>
      <c r="J155" t="str">
        <f t="shared" si="2"/>
        <v>Activité élevée</v>
      </c>
    </row>
    <row r="156" spans="1:10" hidden="1" x14ac:dyDescent="0.45">
      <c r="A156">
        <v>140</v>
      </c>
      <c r="B156" t="s">
        <v>19</v>
      </c>
      <c r="C156" t="s">
        <v>20</v>
      </c>
      <c r="D156">
        <v>2025</v>
      </c>
      <c r="E156">
        <v>6</v>
      </c>
      <c r="F156" t="s">
        <v>14</v>
      </c>
      <c r="G156">
        <v>274</v>
      </c>
      <c r="H156">
        <v>202</v>
      </c>
      <c r="I156">
        <v>1.9</v>
      </c>
      <c r="J156" t="str">
        <f t="shared" si="2"/>
        <v>Activité normale</v>
      </c>
    </row>
    <row r="157" spans="1:10" x14ac:dyDescent="0.45">
      <c r="A157">
        <v>141</v>
      </c>
      <c r="B157" t="s">
        <v>21</v>
      </c>
      <c r="C157" t="s">
        <v>22</v>
      </c>
      <c r="D157">
        <v>2025</v>
      </c>
      <c r="E157">
        <v>6</v>
      </c>
      <c r="F157" t="s">
        <v>11</v>
      </c>
      <c r="G157">
        <v>526</v>
      </c>
      <c r="H157">
        <v>263</v>
      </c>
      <c r="I157">
        <v>5.7</v>
      </c>
      <c r="J157" t="str">
        <f t="shared" si="2"/>
        <v>Activité élevée</v>
      </c>
    </row>
    <row r="158" spans="1:10" x14ac:dyDescent="0.45">
      <c r="A158">
        <v>142</v>
      </c>
      <c r="B158" t="s">
        <v>21</v>
      </c>
      <c r="C158" t="s">
        <v>22</v>
      </c>
      <c r="D158">
        <v>2025</v>
      </c>
      <c r="E158">
        <v>6</v>
      </c>
      <c r="F158" t="s">
        <v>12</v>
      </c>
      <c r="G158">
        <v>631</v>
      </c>
      <c r="H158">
        <v>415</v>
      </c>
      <c r="I158">
        <v>4.4000000000000004</v>
      </c>
      <c r="J158" t="str">
        <f t="shared" si="2"/>
        <v>Activité élevée</v>
      </c>
    </row>
    <row r="159" spans="1:10" x14ac:dyDescent="0.45">
      <c r="A159">
        <v>143</v>
      </c>
      <c r="B159" t="s">
        <v>21</v>
      </c>
      <c r="C159" t="s">
        <v>22</v>
      </c>
      <c r="D159">
        <v>2025</v>
      </c>
      <c r="E159">
        <v>6</v>
      </c>
      <c r="F159" t="s">
        <v>13</v>
      </c>
      <c r="G159">
        <v>151</v>
      </c>
      <c r="H159">
        <v>117</v>
      </c>
      <c r="I159">
        <v>6.5</v>
      </c>
      <c r="J159" t="str">
        <f t="shared" si="2"/>
        <v>Activité normale</v>
      </c>
    </row>
    <row r="160" spans="1:10" x14ac:dyDescent="0.45">
      <c r="A160">
        <v>144</v>
      </c>
      <c r="B160" t="s">
        <v>21</v>
      </c>
      <c r="C160" t="s">
        <v>22</v>
      </c>
      <c r="D160">
        <v>2025</v>
      </c>
      <c r="E160">
        <v>6</v>
      </c>
      <c r="F160" t="s">
        <v>14</v>
      </c>
      <c r="G160">
        <v>207</v>
      </c>
      <c r="H160">
        <v>195</v>
      </c>
      <c r="I160">
        <v>8.6999999999999993</v>
      </c>
      <c r="J160" t="str">
        <f t="shared" si="2"/>
        <v>Activité normale</v>
      </c>
    </row>
    <row r="161" spans="1:10" x14ac:dyDescent="0.45">
      <c r="A161">
        <v>145</v>
      </c>
      <c r="B161" t="s">
        <v>9</v>
      </c>
      <c r="C161" t="s">
        <v>10</v>
      </c>
      <c r="D161">
        <v>2026</v>
      </c>
      <c r="E161">
        <v>1</v>
      </c>
      <c r="F161" t="s">
        <v>11</v>
      </c>
      <c r="G161">
        <v>599</v>
      </c>
      <c r="H161">
        <v>457</v>
      </c>
      <c r="I161">
        <v>6.8</v>
      </c>
      <c r="J161" t="str">
        <f t="shared" si="2"/>
        <v>Activité élevée</v>
      </c>
    </row>
    <row r="162" spans="1:10" x14ac:dyDescent="0.45">
      <c r="A162">
        <v>146</v>
      </c>
      <c r="B162" t="s">
        <v>9</v>
      </c>
      <c r="C162" t="s">
        <v>10</v>
      </c>
      <c r="D162">
        <v>2026</v>
      </c>
      <c r="E162">
        <v>1</v>
      </c>
      <c r="F162" t="s">
        <v>12</v>
      </c>
      <c r="G162">
        <v>414</v>
      </c>
      <c r="H162">
        <v>310</v>
      </c>
      <c r="I162">
        <v>7.1</v>
      </c>
      <c r="J162" t="str">
        <f t="shared" si="2"/>
        <v>Activité normale</v>
      </c>
    </row>
    <row r="163" spans="1:10" x14ac:dyDescent="0.45">
      <c r="A163">
        <v>147</v>
      </c>
      <c r="B163" t="s">
        <v>9</v>
      </c>
      <c r="C163" t="s">
        <v>10</v>
      </c>
      <c r="D163">
        <v>2026</v>
      </c>
      <c r="E163">
        <v>1</v>
      </c>
      <c r="F163" t="s">
        <v>13</v>
      </c>
      <c r="G163">
        <v>647</v>
      </c>
      <c r="H163">
        <v>388</v>
      </c>
      <c r="I163">
        <v>3</v>
      </c>
      <c r="J163" t="str">
        <f t="shared" si="2"/>
        <v>Activité élevée</v>
      </c>
    </row>
    <row r="164" spans="1:10" x14ac:dyDescent="0.45">
      <c r="A164">
        <v>148</v>
      </c>
      <c r="B164" t="s">
        <v>9</v>
      </c>
      <c r="C164" t="s">
        <v>10</v>
      </c>
      <c r="D164">
        <v>2026</v>
      </c>
      <c r="E164">
        <v>1</v>
      </c>
      <c r="F164" t="s">
        <v>14</v>
      </c>
      <c r="G164">
        <v>468</v>
      </c>
      <c r="H164">
        <v>407</v>
      </c>
      <c r="I164">
        <v>7.5</v>
      </c>
      <c r="J164" t="str">
        <f t="shared" si="2"/>
        <v>Activité normale</v>
      </c>
    </row>
    <row r="165" spans="1:10" x14ac:dyDescent="0.45">
      <c r="A165">
        <v>149</v>
      </c>
      <c r="B165" t="s">
        <v>15</v>
      </c>
      <c r="C165" t="s">
        <v>10</v>
      </c>
      <c r="D165">
        <v>2026</v>
      </c>
      <c r="E165">
        <v>1</v>
      </c>
      <c r="F165" t="s">
        <v>11</v>
      </c>
      <c r="G165">
        <v>258</v>
      </c>
      <c r="H165">
        <v>206</v>
      </c>
      <c r="I165">
        <v>4.7</v>
      </c>
      <c r="J165" t="str">
        <f t="shared" si="2"/>
        <v>Activité normale</v>
      </c>
    </row>
    <row r="166" spans="1:10" x14ac:dyDescent="0.45">
      <c r="A166">
        <v>150</v>
      </c>
      <c r="B166" t="s">
        <v>15</v>
      </c>
      <c r="C166" t="s">
        <v>10</v>
      </c>
      <c r="D166">
        <v>2026</v>
      </c>
      <c r="E166">
        <v>1</v>
      </c>
      <c r="F166" t="s">
        <v>12</v>
      </c>
      <c r="G166">
        <v>80</v>
      </c>
      <c r="H166">
        <v>59</v>
      </c>
      <c r="I166">
        <v>3.8</v>
      </c>
      <c r="J166" t="str">
        <f t="shared" si="2"/>
        <v>Activité normale</v>
      </c>
    </row>
    <row r="167" spans="1:10" x14ac:dyDescent="0.45">
      <c r="A167">
        <v>151</v>
      </c>
      <c r="B167" t="s">
        <v>15</v>
      </c>
      <c r="C167" t="s">
        <v>10</v>
      </c>
      <c r="D167">
        <v>2026</v>
      </c>
      <c r="E167">
        <v>1</v>
      </c>
      <c r="F167" t="s">
        <v>13</v>
      </c>
      <c r="G167">
        <v>520</v>
      </c>
      <c r="H167">
        <v>424</v>
      </c>
      <c r="I167">
        <v>5.2</v>
      </c>
      <c r="J167" t="str">
        <f t="shared" si="2"/>
        <v>Activité élevée</v>
      </c>
    </row>
    <row r="168" spans="1:10" x14ac:dyDescent="0.45">
      <c r="A168">
        <v>152</v>
      </c>
      <c r="B168" t="s">
        <v>15</v>
      </c>
      <c r="C168" t="s">
        <v>10</v>
      </c>
      <c r="D168">
        <v>2026</v>
      </c>
      <c r="E168">
        <v>1</v>
      </c>
      <c r="F168" t="s">
        <v>14</v>
      </c>
      <c r="G168">
        <v>532</v>
      </c>
      <c r="H168">
        <v>375</v>
      </c>
      <c r="I168">
        <v>5.6</v>
      </c>
      <c r="J168" t="str">
        <f t="shared" si="2"/>
        <v>Activité élevée</v>
      </c>
    </row>
    <row r="169" spans="1:10" x14ac:dyDescent="0.45">
      <c r="A169">
        <v>153</v>
      </c>
      <c r="B169" t="s">
        <v>16</v>
      </c>
      <c r="C169" t="s">
        <v>17</v>
      </c>
      <c r="D169">
        <v>2026</v>
      </c>
      <c r="E169">
        <v>1</v>
      </c>
      <c r="F169" t="s">
        <v>11</v>
      </c>
      <c r="G169">
        <v>253</v>
      </c>
      <c r="H169">
        <v>147</v>
      </c>
      <c r="I169">
        <v>3.8</v>
      </c>
      <c r="J169" t="str">
        <f t="shared" si="2"/>
        <v>Activité normale</v>
      </c>
    </row>
    <row r="170" spans="1:10" x14ac:dyDescent="0.45">
      <c r="A170">
        <v>154</v>
      </c>
      <c r="B170" t="s">
        <v>16</v>
      </c>
      <c r="C170" t="s">
        <v>17</v>
      </c>
      <c r="D170">
        <v>2026</v>
      </c>
      <c r="E170">
        <v>1</v>
      </c>
      <c r="F170" t="s">
        <v>12</v>
      </c>
      <c r="G170">
        <v>423</v>
      </c>
      <c r="H170">
        <v>234</v>
      </c>
      <c r="I170">
        <v>8</v>
      </c>
      <c r="J170" t="str">
        <f t="shared" si="2"/>
        <v>Activité normale</v>
      </c>
    </row>
    <row r="171" spans="1:10" x14ac:dyDescent="0.45">
      <c r="A171">
        <v>155</v>
      </c>
      <c r="B171" t="s">
        <v>16</v>
      </c>
      <c r="C171" t="s">
        <v>17</v>
      </c>
      <c r="D171">
        <v>2026</v>
      </c>
      <c r="E171">
        <v>1</v>
      </c>
      <c r="F171" t="s">
        <v>13</v>
      </c>
      <c r="G171">
        <v>320</v>
      </c>
      <c r="H171">
        <v>239</v>
      </c>
      <c r="I171">
        <v>3.3</v>
      </c>
      <c r="J171" t="str">
        <f t="shared" si="2"/>
        <v>Activité normale</v>
      </c>
    </row>
    <row r="172" spans="1:10" x14ac:dyDescent="0.45">
      <c r="A172">
        <v>156</v>
      </c>
      <c r="B172" t="s">
        <v>16</v>
      </c>
      <c r="C172" t="s">
        <v>17</v>
      </c>
      <c r="D172">
        <v>2026</v>
      </c>
      <c r="E172">
        <v>1</v>
      </c>
      <c r="F172" t="s">
        <v>14</v>
      </c>
      <c r="G172">
        <v>283</v>
      </c>
      <c r="H172">
        <v>178</v>
      </c>
      <c r="I172">
        <v>1.7</v>
      </c>
      <c r="J172" t="str">
        <f t="shared" si="2"/>
        <v>Activité normale</v>
      </c>
    </row>
    <row r="173" spans="1:10" x14ac:dyDescent="0.45">
      <c r="A173">
        <v>157</v>
      </c>
      <c r="B173" t="s">
        <v>18</v>
      </c>
      <c r="C173" t="s">
        <v>17</v>
      </c>
      <c r="D173">
        <v>2026</v>
      </c>
      <c r="E173">
        <v>1</v>
      </c>
      <c r="F173" t="s">
        <v>11</v>
      </c>
      <c r="G173">
        <v>330</v>
      </c>
      <c r="H173">
        <v>286</v>
      </c>
      <c r="I173">
        <v>6.4</v>
      </c>
      <c r="J173" t="str">
        <f t="shared" si="2"/>
        <v>Activité normale</v>
      </c>
    </row>
    <row r="174" spans="1:10" x14ac:dyDescent="0.45">
      <c r="A174">
        <v>158</v>
      </c>
      <c r="B174" t="s">
        <v>18</v>
      </c>
      <c r="C174" t="s">
        <v>17</v>
      </c>
      <c r="D174">
        <v>2026</v>
      </c>
      <c r="E174">
        <v>1</v>
      </c>
      <c r="F174" t="s">
        <v>12</v>
      </c>
      <c r="G174">
        <v>154</v>
      </c>
      <c r="H174">
        <v>135</v>
      </c>
      <c r="I174">
        <v>4.8</v>
      </c>
      <c r="J174" t="str">
        <f t="shared" si="2"/>
        <v>Activité normale</v>
      </c>
    </row>
    <row r="175" spans="1:10" x14ac:dyDescent="0.45">
      <c r="A175">
        <v>159</v>
      </c>
      <c r="B175" t="s">
        <v>18</v>
      </c>
      <c r="C175" t="s">
        <v>17</v>
      </c>
      <c r="D175">
        <v>2026</v>
      </c>
      <c r="E175">
        <v>1</v>
      </c>
      <c r="F175" t="s">
        <v>13</v>
      </c>
      <c r="G175">
        <v>279</v>
      </c>
      <c r="H175">
        <v>237</v>
      </c>
      <c r="I175">
        <v>5.5</v>
      </c>
      <c r="J175" t="str">
        <f t="shared" si="2"/>
        <v>Activité normale</v>
      </c>
    </row>
    <row r="176" spans="1:10" x14ac:dyDescent="0.45">
      <c r="A176">
        <v>160</v>
      </c>
      <c r="B176" t="s">
        <v>18</v>
      </c>
      <c r="C176" t="s">
        <v>17</v>
      </c>
      <c r="D176">
        <v>2026</v>
      </c>
      <c r="E176">
        <v>1</v>
      </c>
      <c r="F176" t="s">
        <v>14</v>
      </c>
      <c r="G176">
        <v>329</v>
      </c>
      <c r="H176">
        <v>201</v>
      </c>
      <c r="I176">
        <v>6.7</v>
      </c>
      <c r="J176" t="str">
        <f t="shared" si="2"/>
        <v>Activité normale</v>
      </c>
    </row>
    <row r="177" spans="1:10" hidden="1" x14ac:dyDescent="0.45">
      <c r="A177">
        <v>161</v>
      </c>
      <c r="B177" t="s">
        <v>19</v>
      </c>
      <c r="C177" t="s">
        <v>20</v>
      </c>
      <c r="D177">
        <v>2026</v>
      </c>
      <c r="E177">
        <v>1</v>
      </c>
      <c r="F177" t="s">
        <v>11</v>
      </c>
      <c r="G177">
        <v>85</v>
      </c>
      <c r="H177">
        <v>48</v>
      </c>
      <c r="I177">
        <v>7.7</v>
      </c>
      <c r="J177" t="str">
        <f t="shared" si="2"/>
        <v>Activité normale</v>
      </c>
    </row>
    <row r="178" spans="1:10" hidden="1" x14ac:dyDescent="0.45">
      <c r="A178">
        <v>162</v>
      </c>
      <c r="B178" t="s">
        <v>19</v>
      </c>
      <c r="C178" t="s">
        <v>20</v>
      </c>
      <c r="D178">
        <v>2026</v>
      </c>
      <c r="E178">
        <v>1</v>
      </c>
      <c r="F178" t="s">
        <v>12</v>
      </c>
      <c r="G178">
        <v>304</v>
      </c>
      <c r="H178">
        <v>197</v>
      </c>
      <c r="I178">
        <v>7.9</v>
      </c>
      <c r="J178" t="str">
        <f t="shared" si="2"/>
        <v>Activité normale</v>
      </c>
    </row>
    <row r="179" spans="1:10" hidden="1" x14ac:dyDescent="0.45">
      <c r="A179">
        <v>163</v>
      </c>
      <c r="B179" t="s">
        <v>19</v>
      </c>
      <c r="C179" t="s">
        <v>20</v>
      </c>
      <c r="D179">
        <v>2026</v>
      </c>
      <c r="E179">
        <v>1</v>
      </c>
      <c r="F179" t="s">
        <v>13</v>
      </c>
      <c r="G179">
        <v>610</v>
      </c>
      <c r="H179">
        <v>542</v>
      </c>
      <c r="I179">
        <v>1.9</v>
      </c>
      <c r="J179" t="str">
        <f t="shared" si="2"/>
        <v>Activité élevée</v>
      </c>
    </row>
    <row r="180" spans="1:10" hidden="1" x14ac:dyDescent="0.45">
      <c r="A180">
        <v>164</v>
      </c>
      <c r="B180" t="s">
        <v>19</v>
      </c>
      <c r="C180" t="s">
        <v>20</v>
      </c>
      <c r="D180">
        <v>2026</v>
      </c>
      <c r="E180">
        <v>1</v>
      </c>
      <c r="F180" t="s">
        <v>14</v>
      </c>
      <c r="G180">
        <v>335</v>
      </c>
      <c r="H180">
        <v>198</v>
      </c>
      <c r="I180">
        <v>5.2</v>
      </c>
      <c r="J180" t="str">
        <f t="shared" si="2"/>
        <v>Activité normale</v>
      </c>
    </row>
    <row r="181" spans="1:10" x14ac:dyDescent="0.45">
      <c r="A181">
        <v>165</v>
      </c>
      <c r="B181" t="s">
        <v>21</v>
      </c>
      <c r="C181" t="s">
        <v>22</v>
      </c>
      <c r="D181">
        <v>2026</v>
      </c>
      <c r="E181">
        <v>1</v>
      </c>
      <c r="F181" t="s">
        <v>11</v>
      </c>
      <c r="G181">
        <v>555</v>
      </c>
      <c r="H181">
        <v>548</v>
      </c>
      <c r="I181">
        <v>9.4</v>
      </c>
      <c r="J181" t="str">
        <f t="shared" si="2"/>
        <v>Activité élevée</v>
      </c>
    </row>
    <row r="182" spans="1:10" x14ac:dyDescent="0.45">
      <c r="A182">
        <v>166</v>
      </c>
      <c r="B182" t="s">
        <v>21</v>
      </c>
      <c r="C182" t="s">
        <v>22</v>
      </c>
      <c r="D182">
        <v>2026</v>
      </c>
      <c r="E182">
        <v>1</v>
      </c>
      <c r="F182" t="s">
        <v>12</v>
      </c>
      <c r="G182">
        <v>404</v>
      </c>
      <c r="H182">
        <v>395</v>
      </c>
      <c r="I182">
        <v>8.6</v>
      </c>
      <c r="J182" t="str">
        <f t="shared" si="2"/>
        <v>Activité normale</v>
      </c>
    </row>
    <row r="183" spans="1:10" x14ac:dyDescent="0.45">
      <c r="A183">
        <v>167</v>
      </c>
      <c r="B183" t="s">
        <v>21</v>
      </c>
      <c r="C183" t="s">
        <v>22</v>
      </c>
      <c r="D183">
        <v>2026</v>
      </c>
      <c r="E183">
        <v>1</v>
      </c>
      <c r="F183" t="s">
        <v>13</v>
      </c>
      <c r="G183">
        <v>596</v>
      </c>
      <c r="H183">
        <v>516</v>
      </c>
      <c r="I183">
        <v>8.1</v>
      </c>
      <c r="J183" t="str">
        <f t="shared" si="2"/>
        <v>Activité élevée</v>
      </c>
    </row>
    <row r="184" spans="1:10" x14ac:dyDescent="0.45">
      <c r="A184">
        <v>168</v>
      </c>
      <c r="B184" t="s">
        <v>21</v>
      </c>
      <c r="C184" t="s">
        <v>22</v>
      </c>
      <c r="D184">
        <v>2026</v>
      </c>
      <c r="E184">
        <v>1</v>
      </c>
      <c r="F184" t="s">
        <v>14</v>
      </c>
      <c r="G184">
        <v>641</v>
      </c>
      <c r="H184">
        <v>548</v>
      </c>
      <c r="I184">
        <v>8.6999999999999993</v>
      </c>
      <c r="J184" t="str">
        <f t="shared" si="2"/>
        <v>Activité élevée</v>
      </c>
    </row>
    <row r="185" spans="1:10" x14ac:dyDescent="0.45">
      <c r="A185">
        <v>169</v>
      </c>
      <c r="B185" t="s">
        <v>9</v>
      </c>
      <c r="C185" t="s">
        <v>10</v>
      </c>
      <c r="D185">
        <v>2026</v>
      </c>
      <c r="E185">
        <v>2</v>
      </c>
      <c r="F185" t="s">
        <v>11</v>
      </c>
      <c r="G185">
        <v>566</v>
      </c>
      <c r="H185">
        <v>513</v>
      </c>
      <c r="I185">
        <v>3.6</v>
      </c>
      <c r="J185" t="str">
        <f t="shared" si="2"/>
        <v>Activité élevée</v>
      </c>
    </row>
    <row r="186" spans="1:10" x14ac:dyDescent="0.45">
      <c r="A186">
        <v>170</v>
      </c>
      <c r="B186" t="s">
        <v>9</v>
      </c>
      <c r="C186" t="s">
        <v>10</v>
      </c>
      <c r="D186">
        <v>2026</v>
      </c>
      <c r="E186">
        <v>2</v>
      </c>
      <c r="F186" t="s">
        <v>12</v>
      </c>
      <c r="G186">
        <v>333</v>
      </c>
      <c r="H186">
        <v>329</v>
      </c>
      <c r="I186">
        <v>3.7</v>
      </c>
      <c r="J186" t="str">
        <f t="shared" si="2"/>
        <v>Activité normale</v>
      </c>
    </row>
    <row r="187" spans="1:10" x14ac:dyDescent="0.45">
      <c r="A187">
        <v>171</v>
      </c>
      <c r="B187" t="s">
        <v>9</v>
      </c>
      <c r="C187" t="s">
        <v>10</v>
      </c>
      <c r="D187">
        <v>2026</v>
      </c>
      <c r="E187">
        <v>2</v>
      </c>
      <c r="F187" t="s">
        <v>13</v>
      </c>
      <c r="G187">
        <v>613</v>
      </c>
      <c r="H187">
        <v>554</v>
      </c>
      <c r="I187">
        <v>6.5</v>
      </c>
      <c r="J187" t="str">
        <f t="shared" si="2"/>
        <v>Activité élevée</v>
      </c>
    </row>
    <row r="188" spans="1:10" x14ac:dyDescent="0.45">
      <c r="A188">
        <v>172</v>
      </c>
      <c r="B188" t="s">
        <v>9</v>
      </c>
      <c r="C188" t="s">
        <v>10</v>
      </c>
      <c r="D188">
        <v>2026</v>
      </c>
      <c r="E188">
        <v>2</v>
      </c>
      <c r="F188" t="s">
        <v>14</v>
      </c>
      <c r="G188">
        <v>361</v>
      </c>
      <c r="H188">
        <v>292</v>
      </c>
      <c r="I188">
        <v>2.1</v>
      </c>
      <c r="J188" t="str">
        <f t="shared" si="2"/>
        <v>Activité normale</v>
      </c>
    </row>
    <row r="189" spans="1:10" x14ac:dyDescent="0.45">
      <c r="A189">
        <v>173</v>
      </c>
      <c r="B189" t="s">
        <v>15</v>
      </c>
      <c r="C189" t="s">
        <v>10</v>
      </c>
      <c r="D189">
        <v>2026</v>
      </c>
      <c r="E189">
        <v>2</v>
      </c>
      <c r="F189" t="s">
        <v>11</v>
      </c>
      <c r="G189">
        <v>372</v>
      </c>
      <c r="H189">
        <v>246</v>
      </c>
      <c r="I189">
        <v>3.7</v>
      </c>
      <c r="J189" t="str">
        <f t="shared" si="2"/>
        <v>Activité normale</v>
      </c>
    </row>
    <row r="190" spans="1:10" x14ac:dyDescent="0.45">
      <c r="A190">
        <v>174</v>
      </c>
      <c r="B190" t="s">
        <v>15</v>
      </c>
      <c r="C190" t="s">
        <v>10</v>
      </c>
      <c r="D190">
        <v>2026</v>
      </c>
      <c r="E190">
        <v>2</v>
      </c>
      <c r="F190" t="s">
        <v>12</v>
      </c>
      <c r="G190">
        <v>407</v>
      </c>
      <c r="H190">
        <v>341</v>
      </c>
      <c r="I190">
        <v>2.1</v>
      </c>
      <c r="J190" t="str">
        <f t="shared" si="2"/>
        <v>Activité normale</v>
      </c>
    </row>
    <row r="191" spans="1:10" x14ac:dyDescent="0.45">
      <c r="A191">
        <v>175</v>
      </c>
      <c r="B191" t="s">
        <v>15</v>
      </c>
      <c r="C191" t="s">
        <v>10</v>
      </c>
      <c r="D191">
        <v>2026</v>
      </c>
      <c r="E191">
        <v>2</v>
      </c>
      <c r="F191" t="s">
        <v>13</v>
      </c>
      <c r="G191">
        <v>234</v>
      </c>
      <c r="H191">
        <v>146</v>
      </c>
      <c r="I191">
        <v>4.5999999999999996</v>
      </c>
      <c r="J191" t="str">
        <f t="shared" si="2"/>
        <v>Activité normale</v>
      </c>
    </row>
    <row r="192" spans="1:10" x14ac:dyDescent="0.45">
      <c r="A192">
        <v>176</v>
      </c>
      <c r="B192" t="s">
        <v>15</v>
      </c>
      <c r="C192" t="s">
        <v>10</v>
      </c>
      <c r="D192">
        <v>2026</v>
      </c>
      <c r="E192">
        <v>2</v>
      </c>
      <c r="F192" t="s">
        <v>14</v>
      </c>
      <c r="G192">
        <v>236</v>
      </c>
      <c r="H192">
        <v>208</v>
      </c>
      <c r="I192">
        <v>3.2</v>
      </c>
      <c r="J192" t="str">
        <f t="shared" si="2"/>
        <v>Activité normale</v>
      </c>
    </row>
    <row r="193" spans="1:10" x14ac:dyDescent="0.45">
      <c r="A193">
        <v>177</v>
      </c>
      <c r="B193" t="s">
        <v>16</v>
      </c>
      <c r="C193" t="s">
        <v>17</v>
      </c>
      <c r="D193">
        <v>2026</v>
      </c>
      <c r="E193">
        <v>2</v>
      </c>
      <c r="F193" t="s">
        <v>11</v>
      </c>
      <c r="G193">
        <v>504</v>
      </c>
      <c r="H193">
        <v>356</v>
      </c>
      <c r="I193">
        <v>4.0999999999999996</v>
      </c>
      <c r="J193" t="str">
        <f t="shared" si="2"/>
        <v>Activité élevée</v>
      </c>
    </row>
    <row r="194" spans="1:10" x14ac:dyDescent="0.45">
      <c r="A194">
        <v>178</v>
      </c>
      <c r="B194" t="s">
        <v>16</v>
      </c>
      <c r="C194" t="s">
        <v>17</v>
      </c>
      <c r="D194">
        <v>2026</v>
      </c>
      <c r="E194">
        <v>2</v>
      </c>
      <c r="F194" t="s">
        <v>12</v>
      </c>
      <c r="G194">
        <v>557</v>
      </c>
      <c r="H194">
        <v>490</v>
      </c>
      <c r="I194">
        <v>2</v>
      </c>
      <c r="J194" t="str">
        <f t="shared" si="2"/>
        <v>Activité élevée</v>
      </c>
    </row>
    <row r="195" spans="1:10" x14ac:dyDescent="0.45">
      <c r="A195">
        <v>179</v>
      </c>
      <c r="B195" t="s">
        <v>16</v>
      </c>
      <c r="C195" t="s">
        <v>17</v>
      </c>
      <c r="D195">
        <v>2026</v>
      </c>
      <c r="E195">
        <v>2</v>
      </c>
      <c r="F195" t="s">
        <v>13</v>
      </c>
      <c r="G195">
        <v>510</v>
      </c>
      <c r="H195">
        <v>454</v>
      </c>
      <c r="I195">
        <v>8.6999999999999993</v>
      </c>
      <c r="J195" t="str">
        <f t="shared" si="2"/>
        <v>Activité élevée</v>
      </c>
    </row>
    <row r="196" spans="1:10" x14ac:dyDescent="0.45">
      <c r="A196">
        <v>180</v>
      </c>
      <c r="B196" t="s">
        <v>16</v>
      </c>
      <c r="C196" t="s">
        <v>17</v>
      </c>
      <c r="D196">
        <v>2026</v>
      </c>
      <c r="E196">
        <v>2</v>
      </c>
      <c r="F196" t="s">
        <v>14</v>
      </c>
      <c r="G196">
        <v>100</v>
      </c>
      <c r="H196">
        <v>98</v>
      </c>
      <c r="I196">
        <v>6.1</v>
      </c>
      <c r="J196" t="str">
        <f t="shared" si="2"/>
        <v>Activité normale</v>
      </c>
    </row>
    <row r="197" spans="1:10" x14ac:dyDescent="0.45">
      <c r="A197">
        <v>181</v>
      </c>
      <c r="B197" t="s">
        <v>18</v>
      </c>
      <c r="C197" t="s">
        <v>17</v>
      </c>
      <c r="D197">
        <v>2026</v>
      </c>
      <c r="E197">
        <v>2</v>
      </c>
      <c r="F197" t="s">
        <v>11</v>
      </c>
      <c r="G197">
        <v>568</v>
      </c>
      <c r="H197">
        <v>287</v>
      </c>
      <c r="I197">
        <v>9</v>
      </c>
      <c r="J197" t="str">
        <f t="shared" si="2"/>
        <v>Activité élevée</v>
      </c>
    </row>
    <row r="198" spans="1:10" x14ac:dyDescent="0.45">
      <c r="A198">
        <v>182</v>
      </c>
      <c r="B198" t="s">
        <v>18</v>
      </c>
      <c r="C198" t="s">
        <v>17</v>
      </c>
      <c r="D198">
        <v>2026</v>
      </c>
      <c r="E198">
        <v>2</v>
      </c>
      <c r="F198" t="s">
        <v>12</v>
      </c>
      <c r="G198">
        <v>385</v>
      </c>
      <c r="H198">
        <v>384</v>
      </c>
      <c r="I198">
        <v>4.5999999999999996</v>
      </c>
      <c r="J198" t="str">
        <f t="shared" si="2"/>
        <v>Activité normale</v>
      </c>
    </row>
    <row r="199" spans="1:10" x14ac:dyDescent="0.45">
      <c r="A199">
        <v>183</v>
      </c>
      <c r="B199" t="s">
        <v>18</v>
      </c>
      <c r="C199" t="s">
        <v>17</v>
      </c>
      <c r="D199">
        <v>2026</v>
      </c>
      <c r="E199">
        <v>2</v>
      </c>
      <c r="F199" t="s">
        <v>13</v>
      </c>
      <c r="G199">
        <v>509</v>
      </c>
      <c r="H199">
        <v>366</v>
      </c>
      <c r="I199">
        <v>5.4</v>
      </c>
      <c r="J199" t="str">
        <f t="shared" si="2"/>
        <v>Activité élevée</v>
      </c>
    </row>
    <row r="200" spans="1:10" x14ac:dyDescent="0.45">
      <c r="A200">
        <v>184</v>
      </c>
      <c r="B200" t="s">
        <v>18</v>
      </c>
      <c r="C200" t="s">
        <v>17</v>
      </c>
      <c r="D200">
        <v>2026</v>
      </c>
      <c r="E200">
        <v>2</v>
      </c>
      <c r="F200" t="s">
        <v>14</v>
      </c>
      <c r="G200">
        <v>359</v>
      </c>
      <c r="H200">
        <v>290</v>
      </c>
      <c r="I200">
        <v>5.4</v>
      </c>
      <c r="J200" t="str">
        <f t="shared" si="2"/>
        <v>Activité normale</v>
      </c>
    </row>
    <row r="201" spans="1:10" hidden="1" x14ac:dyDescent="0.45">
      <c r="A201">
        <v>185</v>
      </c>
      <c r="B201" t="s">
        <v>19</v>
      </c>
      <c r="C201" t="s">
        <v>20</v>
      </c>
      <c r="D201">
        <v>2026</v>
      </c>
      <c r="E201">
        <v>2</v>
      </c>
      <c r="F201" t="s">
        <v>11</v>
      </c>
      <c r="G201">
        <v>478</v>
      </c>
      <c r="H201">
        <v>325</v>
      </c>
      <c r="I201">
        <v>6.9</v>
      </c>
      <c r="J201" t="str">
        <f t="shared" si="2"/>
        <v>Activité normale</v>
      </c>
    </row>
    <row r="202" spans="1:10" hidden="1" x14ac:dyDescent="0.45">
      <c r="A202">
        <v>186</v>
      </c>
      <c r="B202" t="s">
        <v>19</v>
      </c>
      <c r="C202" t="s">
        <v>20</v>
      </c>
      <c r="D202">
        <v>2026</v>
      </c>
      <c r="E202">
        <v>2</v>
      </c>
      <c r="F202" t="s">
        <v>12</v>
      </c>
      <c r="G202">
        <v>494</v>
      </c>
      <c r="H202">
        <v>432</v>
      </c>
      <c r="I202">
        <v>2.8</v>
      </c>
      <c r="J202" t="str">
        <f t="shared" si="2"/>
        <v>Activité normale</v>
      </c>
    </row>
    <row r="203" spans="1:10" hidden="1" x14ac:dyDescent="0.45">
      <c r="A203">
        <v>187</v>
      </c>
      <c r="B203" t="s">
        <v>19</v>
      </c>
      <c r="C203" t="s">
        <v>20</v>
      </c>
      <c r="D203">
        <v>2026</v>
      </c>
      <c r="E203">
        <v>2</v>
      </c>
      <c r="F203" t="s">
        <v>13</v>
      </c>
      <c r="G203">
        <v>558</v>
      </c>
      <c r="H203">
        <v>344</v>
      </c>
      <c r="I203">
        <v>9.3000000000000007</v>
      </c>
      <c r="J203" t="str">
        <f t="shared" si="2"/>
        <v>Activité élevée</v>
      </c>
    </row>
    <row r="204" spans="1:10" hidden="1" x14ac:dyDescent="0.45">
      <c r="A204">
        <v>188</v>
      </c>
      <c r="B204" t="s">
        <v>19</v>
      </c>
      <c r="C204" t="s">
        <v>20</v>
      </c>
      <c r="D204">
        <v>2026</v>
      </c>
      <c r="E204">
        <v>2</v>
      </c>
      <c r="F204" t="s">
        <v>14</v>
      </c>
      <c r="G204">
        <v>626</v>
      </c>
      <c r="H204">
        <v>326</v>
      </c>
      <c r="I204">
        <v>8.8000000000000007</v>
      </c>
      <c r="J204" t="str">
        <f t="shared" si="2"/>
        <v>Activité élevée</v>
      </c>
    </row>
    <row r="205" spans="1:10" x14ac:dyDescent="0.45">
      <c r="A205">
        <v>189</v>
      </c>
      <c r="B205" t="s">
        <v>21</v>
      </c>
      <c r="C205" t="s">
        <v>22</v>
      </c>
      <c r="D205">
        <v>2026</v>
      </c>
      <c r="E205">
        <v>2</v>
      </c>
      <c r="F205" t="s">
        <v>11</v>
      </c>
      <c r="G205">
        <v>107</v>
      </c>
      <c r="H205">
        <v>58</v>
      </c>
      <c r="I205">
        <v>6.6</v>
      </c>
      <c r="J205" t="str">
        <f t="shared" si="2"/>
        <v>Activité normale</v>
      </c>
    </row>
    <row r="206" spans="1:10" x14ac:dyDescent="0.45">
      <c r="A206">
        <v>190</v>
      </c>
      <c r="B206" t="s">
        <v>21</v>
      </c>
      <c r="C206" t="s">
        <v>22</v>
      </c>
      <c r="D206">
        <v>2026</v>
      </c>
      <c r="E206">
        <v>2</v>
      </c>
      <c r="F206" t="s">
        <v>12</v>
      </c>
      <c r="G206">
        <v>218</v>
      </c>
      <c r="H206">
        <v>168</v>
      </c>
      <c r="I206">
        <v>3</v>
      </c>
      <c r="J206" t="str">
        <f t="shared" si="2"/>
        <v>Activité normale</v>
      </c>
    </row>
    <row r="207" spans="1:10" x14ac:dyDescent="0.45">
      <c r="A207">
        <v>191</v>
      </c>
      <c r="B207" t="s">
        <v>21</v>
      </c>
      <c r="C207" t="s">
        <v>22</v>
      </c>
      <c r="D207">
        <v>2026</v>
      </c>
      <c r="E207">
        <v>2</v>
      </c>
      <c r="F207" t="s">
        <v>13</v>
      </c>
      <c r="G207">
        <v>346</v>
      </c>
      <c r="H207">
        <v>270</v>
      </c>
      <c r="I207">
        <v>4.0999999999999996</v>
      </c>
      <c r="J207" t="str">
        <f t="shared" si="2"/>
        <v>Activité normale</v>
      </c>
    </row>
    <row r="208" spans="1:10" x14ac:dyDescent="0.45">
      <c r="A208">
        <v>192</v>
      </c>
      <c r="B208" t="s">
        <v>21</v>
      </c>
      <c r="C208" t="s">
        <v>22</v>
      </c>
      <c r="D208">
        <v>2026</v>
      </c>
      <c r="E208">
        <v>2</v>
      </c>
      <c r="F208" t="s">
        <v>14</v>
      </c>
      <c r="G208">
        <v>545</v>
      </c>
      <c r="H208">
        <v>439</v>
      </c>
      <c r="I208">
        <v>4.2</v>
      </c>
      <c r="J208" t="str">
        <f t="shared" si="2"/>
        <v>Activité élevée</v>
      </c>
    </row>
    <row r="209" spans="1:10" x14ac:dyDescent="0.45">
      <c r="A209">
        <v>193</v>
      </c>
      <c r="B209" t="s">
        <v>9</v>
      </c>
      <c r="C209" t="s">
        <v>10</v>
      </c>
      <c r="D209">
        <v>2026</v>
      </c>
      <c r="E209">
        <v>3</v>
      </c>
      <c r="F209" t="s">
        <v>11</v>
      </c>
      <c r="G209">
        <v>468</v>
      </c>
      <c r="H209">
        <v>305</v>
      </c>
      <c r="I209">
        <v>7.5</v>
      </c>
      <c r="J209" t="str">
        <f t="shared" si="2"/>
        <v>Activité normale</v>
      </c>
    </row>
    <row r="210" spans="1:10" x14ac:dyDescent="0.45">
      <c r="A210">
        <v>194</v>
      </c>
      <c r="B210" t="s">
        <v>9</v>
      </c>
      <c r="C210" t="s">
        <v>10</v>
      </c>
      <c r="D210">
        <v>2026</v>
      </c>
      <c r="E210">
        <v>3</v>
      </c>
      <c r="F210" t="s">
        <v>12</v>
      </c>
      <c r="G210">
        <v>511</v>
      </c>
      <c r="H210">
        <v>384</v>
      </c>
      <c r="I210">
        <v>8.1999999999999993</v>
      </c>
      <c r="J210" t="str">
        <f t="shared" ref="J210:J273" si="3">IF(G210&gt;500,"Activité élevée","Activité normale")</f>
        <v>Activité élevée</v>
      </c>
    </row>
    <row r="211" spans="1:10" x14ac:dyDescent="0.45">
      <c r="A211">
        <v>195</v>
      </c>
      <c r="B211" t="s">
        <v>9</v>
      </c>
      <c r="C211" t="s">
        <v>10</v>
      </c>
      <c r="D211">
        <v>2026</v>
      </c>
      <c r="E211">
        <v>3</v>
      </c>
      <c r="F211" t="s">
        <v>13</v>
      </c>
      <c r="G211">
        <v>561</v>
      </c>
      <c r="H211">
        <v>289</v>
      </c>
      <c r="I211">
        <v>7.5</v>
      </c>
      <c r="J211" t="str">
        <f t="shared" si="3"/>
        <v>Activité élevée</v>
      </c>
    </row>
    <row r="212" spans="1:10" x14ac:dyDescent="0.45">
      <c r="A212">
        <v>196</v>
      </c>
      <c r="B212" t="s">
        <v>9</v>
      </c>
      <c r="C212" t="s">
        <v>10</v>
      </c>
      <c r="D212">
        <v>2026</v>
      </c>
      <c r="E212">
        <v>3</v>
      </c>
      <c r="F212" t="s">
        <v>14</v>
      </c>
      <c r="G212">
        <v>133</v>
      </c>
      <c r="H212">
        <v>110</v>
      </c>
      <c r="I212">
        <v>3.3</v>
      </c>
      <c r="J212" t="str">
        <f t="shared" si="3"/>
        <v>Activité normale</v>
      </c>
    </row>
    <row r="213" spans="1:10" x14ac:dyDescent="0.45">
      <c r="A213">
        <v>197</v>
      </c>
      <c r="B213" t="s">
        <v>15</v>
      </c>
      <c r="C213" t="s">
        <v>10</v>
      </c>
      <c r="D213">
        <v>2026</v>
      </c>
      <c r="E213">
        <v>3</v>
      </c>
      <c r="F213" t="s">
        <v>11</v>
      </c>
      <c r="G213">
        <v>150</v>
      </c>
      <c r="H213">
        <v>80</v>
      </c>
      <c r="I213">
        <v>7.5</v>
      </c>
      <c r="J213" t="str">
        <f t="shared" si="3"/>
        <v>Activité normale</v>
      </c>
    </row>
    <row r="214" spans="1:10" x14ac:dyDescent="0.45">
      <c r="A214">
        <v>198</v>
      </c>
      <c r="B214" t="s">
        <v>15</v>
      </c>
      <c r="C214" t="s">
        <v>10</v>
      </c>
      <c r="D214">
        <v>2026</v>
      </c>
      <c r="E214">
        <v>3</v>
      </c>
      <c r="F214" t="s">
        <v>12</v>
      </c>
      <c r="G214">
        <v>333</v>
      </c>
      <c r="H214">
        <v>217</v>
      </c>
      <c r="I214">
        <v>8.1999999999999993</v>
      </c>
      <c r="J214" t="str">
        <f t="shared" si="3"/>
        <v>Activité normale</v>
      </c>
    </row>
    <row r="215" spans="1:10" x14ac:dyDescent="0.45">
      <c r="A215">
        <v>199</v>
      </c>
      <c r="B215" t="s">
        <v>15</v>
      </c>
      <c r="C215" t="s">
        <v>10</v>
      </c>
      <c r="D215">
        <v>2026</v>
      </c>
      <c r="E215">
        <v>3</v>
      </c>
      <c r="F215" t="s">
        <v>13</v>
      </c>
      <c r="G215">
        <v>236</v>
      </c>
      <c r="H215">
        <v>148</v>
      </c>
      <c r="I215">
        <v>2.5</v>
      </c>
      <c r="J215" t="str">
        <f t="shared" si="3"/>
        <v>Activité normale</v>
      </c>
    </row>
    <row r="216" spans="1:10" x14ac:dyDescent="0.45">
      <c r="A216">
        <v>200</v>
      </c>
      <c r="B216" t="s">
        <v>15</v>
      </c>
      <c r="C216" t="s">
        <v>10</v>
      </c>
      <c r="D216">
        <v>2026</v>
      </c>
      <c r="E216">
        <v>3</v>
      </c>
      <c r="F216" t="s">
        <v>14</v>
      </c>
      <c r="G216">
        <v>197</v>
      </c>
      <c r="H216">
        <v>170</v>
      </c>
      <c r="I216">
        <v>9.1</v>
      </c>
      <c r="J216" t="str">
        <f t="shared" si="3"/>
        <v>Activité normale</v>
      </c>
    </row>
    <row r="217" spans="1:10" x14ac:dyDescent="0.45">
      <c r="A217">
        <v>201</v>
      </c>
      <c r="B217" t="s">
        <v>16</v>
      </c>
      <c r="C217" t="s">
        <v>17</v>
      </c>
      <c r="D217">
        <v>2026</v>
      </c>
      <c r="E217">
        <v>3</v>
      </c>
      <c r="F217" t="s">
        <v>11</v>
      </c>
      <c r="G217">
        <v>556</v>
      </c>
      <c r="H217">
        <v>409</v>
      </c>
      <c r="I217">
        <v>7.6</v>
      </c>
      <c r="J217" t="str">
        <f t="shared" si="3"/>
        <v>Activité élevée</v>
      </c>
    </row>
    <row r="218" spans="1:10" x14ac:dyDescent="0.45">
      <c r="A218">
        <v>202</v>
      </c>
      <c r="B218" t="s">
        <v>16</v>
      </c>
      <c r="C218" t="s">
        <v>17</v>
      </c>
      <c r="D218">
        <v>2026</v>
      </c>
      <c r="E218">
        <v>3</v>
      </c>
      <c r="F218" t="s">
        <v>12</v>
      </c>
      <c r="G218">
        <v>251</v>
      </c>
      <c r="H218">
        <v>202</v>
      </c>
      <c r="I218">
        <v>6.4</v>
      </c>
      <c r="J218" t="str">
        <f t="shared" si="3"/>
        <v>Activité normale</v>
      </c>
    </row>
    <row r="219" spans="1:10" x14ac:dyDescent="0.45">
      <c r="A219">
        <v>203</v>
      </c>
      <c r="B219" t="s">
        <v>16</v>
      </c>
      <c r="C219" t="s">
        <v>17</v>
      </c>
      <c r="D219">
        <v>2026</v>
      </c>
      <c r="E219">
        <v>3</v>
      </c>
      <c r="F219" t="s">
        <v>13</v>
      </c>
      <c r="G219">
        <v>197</v>
      </c>
      <c r="H219">
        <v>197</v>
      </c>
      <c r="I219">
        <v>8.1</v>
      </c>
      <c r="J219" t="str">
        <f t="shared" si="3"/>
        <v>Activité normale</v>
      </c>
    </row>
    <row r="220" spans="1:10" x14ac:dyDescent="0.45">
      <c r="A220">
        <v>204</v>
      </c>
      <c r="B220" t="s">
        <v>16</v>
      </c>
      <c r="C220" t="s">
        <v>17</v>
      </c>
      <c r="D220">
        <v>2026</v>
      </c>
      <c r="E220">
        <v>3</v>
      </c>
      <c r="F220" t="s">
        <v>14</v>
      </c>
      <c r="G220">
        <v>398</v>
      </c>
      <c r="H220">
        <v>226</v>
      </c>
      <c r="I220">
        <v>6.1</v>
      </c>
      <c r="J220" t="str">
        <f t="shared" si="3"/>
        <v>Activité normale</v>
      </c>
    </row>
    <row r="221" spans="1:10" x14ac:dyDescent="0.45">
      <c r="A221">
        <v>205</v>
      </c>
      <c r="B221" t="s">
        <v>18</v>
      </c>
      <c r="C221" t="s">
        <v>17</v>
      </c>
      <c r="D221">
        <v>2026</v>
      </c>
      <c r="E221">
        <v>3</v>
      </c>
      <c r="F221" t="s">
        <v>11</v>
      </c>
      <c r="G221">
        <v>399</v>
      </c>
      <c r="H221">
        <v>346</v>
      </c>
      <c r="I221">
        <v>6.9</v>
      </c>
      <c r="J221" t="str">
        <f t="shared" si="3"/>
        <v>Activité normale</v>
      </c>
    </row>
    <row r="222" spans="1:10" x14ac:dyDescent="0.45">
      <c r="A222">
        <v>206</v>
      </c>
      <c r="B222" t="s">
        <v>18</v>
      </c>
      <c r="C222" t="s">
        <v>17</v>
      </c>
      <c r="D222">
        <v>2026</v>
      </c>
      <c r="E222">
        <v>3</v>
      </c>
      <c r="F222" t="s">
        <v>12</v>
      </c>
      <c r="G222">
        <v>464</v>
      </c>
      <c r="H222">
        <v>333</v>
      </c>
      <c r="I222">
        <v>9</v>
      </c>
      <c r="J222" t="str">
        <f t="shared" si="3"/>
        <v>Activité normale</v>
      </c>
    </row>
    <row r="223" spans="1:10" x14ac:dyDescent="0.45">
      <c r="A223">
        <v>207</v>
      </c>
      <c r="B223" t="s">
        <v>18</v>
      </c>
      <c r="C223" t="s">
        <v>17</v>
      </c>
      <c r="D223">
        <v>2026</v>
      </c>
      <c r="E223">
        <v>3</v>
      </c>
      <c r="F223" t="s">
        <v>13</v>
      </c>
      <c r="G223">
        <v>283</v>
      </c>
      <c r="H223">
        <v>160</v>
      </c>
      <c r="I223">
        <v>6.2</v>
      </c>
      <c r="J223" t="str">
        <f t="shared" si="3"/>
        <v>Activité normale</v>
      </c>
    </row>
    <row r="224" spans="1:10" x14ac:dyDescent="0.45">
      <c r="A224">
        <v>208</v>
      </c>
      <c r="B224" t="s">
        <v>18</v>
      </c>
      <c r="C224" t="s">
        <v>17</v>
      </c>
      <c r="D224">
        <v>2026</v>
      </c>
      <c r="E224">
        <v>3</v>
      </c>
      <c r="F224" t="s">
        <v>14</v>
      </c>
      <c r="G224">
        <v>328</v>
      </c>
      <c r="H224">
        <v>190</v>
      </c>
      <c r="I224">
        <v>7.1</v>
      </c>
      <c r="J224" t="str">
        <f t="shared" si="3"/>
        <v>Activité normale</v>
      </c>
    </row>
    <row r="225" spans="1:10" hidden="1" x14ac:dyDescent="0.45">
      <c r="A225">
        <v>209</v>
      </c>
      <c r="B225" t="s">
        <v>19</v>
      </c>
      <c r="C225" t="s">
        <v>20</v>
      </c>
      <c r="D225">
        <v>2026</v>
      </c>
      <c r="E225">
        <v>3</v>
      </c>
      <c r="F225" t="s">
        <v>11</v>
      </c>
      <c r="G225">
        <v>388</v>
      </c>
      <c r="H225">
        <v>369</v>
      </c>
      <c r="I225">
        <v>6.3</v>
      </c>
      <c r="J225" t="str">
        <f t="shared" si="3"/>
        <v>Activité normale</v>
      </c>
    </row>
    <row r="226" spans="1:10" hidden="1" x14ac:dyDescent="0.45">
      <c r="A226">
        <v>210</v>
      </c>
      <c r="B226" t="s">
        <v>19</v>
      </c>
      <c r="C226" t="s">
        <v>20</v>
      </c>
      <c r="D226">
        <v>2026</v>
      </c>
      <c r="E226">
        <v>3</v>
      </c>
      <c r="F226" t="s">
        <v>12</v>
      </c>
      <c r="G226">
        <v>203</v>
      </c>
      <c r="H226">
        <v>202</v>
      </c>
      <c r="I226">
        <v>9.4</v>
      </c>
      <c r="J226" t="str">
        <f t="shared" si="3"/>
        <v>Activité normale</v>
      </c>
    </row>
    <row r="227" spans="1:10" hidden="1" x14ac:dyDescent="0.45">
      <c r="A227">
        <v>211</v>
      </c>
      <c r="B227" t="s">
        <v>19</v>
      </c>
      <c r="C227" t="s">
        <v>20</v>
      </c>
      <c r="D227">
        <v>2026</v>
      </c>
      <c r="E227">
        <v>3</v>
      </c>
      <c r="F227" t="s">
        <v>13</v>
      </c>
      <c r="G227">
        <v>122</v>
      </c>
      <c r="H227">
        <v>83</v>
      </c>
      <c r="I227">
        <v>5.8</v>
      </c>
      <c r="J227" t="str">
        <f t="shared" si="3"/>
        <v>Activité normale</v>
      </c>
    </row>
    <row r="228" spans="1:10" hidden="1" x14ac:dyDescent="0.45">
      <c r="A228">
        <v>212</v>
      </c>
      <c r="B228" t="s">
        <v>19</v>
      </c>
      <c r="C228" t="s">
        <v>20</v>
      </c>
      <c r="D228">
        <v>2026</v>
      </c>
      <c r="E228">
        <v>3</v>
      </c>
      <c r="F228" t="s">
        <v>14</v>
      </c>
      <c r="G228">
        <v>459</v>
      </c>
      <c r="H228">
        <v>246</v>
      </c>
      <c r="I228">
        <v>5.5</v>
      </c>
      <c r="J228" t="str">
        <f t="shared" si="3"/>
        <v>Activité normale</v>
      </c>
    </row>
    <row r="229" spans="1:10" x14ac:dyDescent="0.45">
      <c r="A229">
        <v>213</v>
      </c>
      <c r="B229" t="s">
        <v>21</v>
      </c>
      <c r="C229" t="s">
        <v>22</v>
      </c>
      <c r="D229">
        <v>2026</v>
      </c>
      <c r="E229">
        <v>3</v>
      </c>
      <c r="F229" t="s">
        <v>11</v>
      </c>
      <c r="G229">
        <v>429</v>
      </c>
      <c r="H229">
        <v>217</v>
      </c>
      <c r="I229">
        <v>8.3000000000000007</v>
      </c>
      <c r="J229" t="str">
        <f t="shared" si="3"/>
        <v>Activité normale</v>
      </c>
    </row>
    <row r="230" spans="1:10" x14ac:dyDescent="0.45">
      <c r="A230">
        <v>214</v>
      </c>
      <c r="B230" t="s">
        <v>21</v>
      </c>
      <c r="C230" t="s">
        <v>22</v>
      </c>
      <c r="D230">
        <v>2026</v>
      </c>
      <c r="E230">
        <v>3</v>
      </c>
      <c r="F230" t="s">
        <v>12</v>
      </c>
      <c r="G230">
        <v>581</v>
      </c>
      <c r="H230">
        <v>344</v>
      </c>
      <c r="I230">
        <v>5</v>
      </c>
      <c r="J230" t="str">
        <f t="shared" si="3"/>
        <v>Activité élevée</v>
      </c>
    </row>
    <row r="231" spans="1:10" x14ac:dyDescent="0.45">
      <c r="A231">
        <v>215</v>
      </c>
      <c r="B231" t="s">
        <v>21</v>
      </c>
      <c r="C231" t="s">
        <v>22</v>
      </c>
      <c r="D231">
        <v>2026</v>
      </c>
      <c r="E231">
        <v>3</v>
      </c>
      <c r="F231" t="s">
        <v>13</v>
      </c>
      <c r="G231">
        <v>450</v>
      </c>
      <c r="H231">
        <v>387</v>
      </c>
      <c r="I231">
        <v>8.6</v>
      </c>
      <c r="J231" t="str">
        <f t="shared" si="3"/>
        <v>Activité normale</v>
      </c>
    </row>
    <row r="232" spans="1:10" x14ac:dyDescent="0.45">
      <c r="A232">
        <v>216</v>
      </c>
      <c r="B232" t="s">
        <v>21</v>
      </c>
      <c r="C232" t="s">
        <v>22</v>
      </c>
      <c r="D232">
        <v>2026</v>
      </c>
      <c r="E232">
        <v>3</v>
      </c>
      <c r="F232" t="s">
        <v>14</v>
      </c>
      <c r="G232">
        <v>550</v>
      </c>
      <c r="H232">
        <v>353</v>
      </c>
      <c r="I232">
        <v>5</v>
      </c>
      <c r="J232" t="str">
        <f t="shared" si="3"/>
        <v>Activité élevée</v>
      </c>
    </row>
    <row r="233" spans="1:10" x14ac:dyDescent="0.45">
      <c r="A233">
        <v>217</v>
      </c>
      <c r="B233" t="s">
        <v>9</v>
      </c>
      <c r="C233" t="s">
        <v>10</v>
      </c>
      <c r="D233">
        <v>2026</v>
      </c>
      <c r="E233">
        <v>4</v>
      </c>
      <c r="F233" t="s">
        <v>11</v>
      </c>
      <c r="G233">
        <v>614</v>
      </c>
      <c r="H233">
        <v>445</v>
      </c>
      <c r="I233">
        <v>6.4</v>
      </c>
      <c r="J233" t="str">
        <f t="shared" si="3"/>
        <v>Activité élevée</v>
      </c>
    </row>
    <row r="234" spans="1:10" x14ac:dyDescent="0.45">
      <c r="A234">
        <v>218</v>
      </c>
      <c r="B234" t="s">
        <v>9</v>
      </c>
      <c r="C234" t="s">
        <v>10</v>
      </c>
      <c r="D234">
        <v>2026</v>
      </c>
      <c r="E234">
        <v>4</v>
      </c>
      <c r="F234" t="s">
        <v>12</v>
      </c>
      <c r="G234">
        <v>631</v>
      </c>
      <c r="H234">
        <v>562</v>
      </c>
      <c r="I234">
        <v>5.2</v>
      </c>
      <c r="J234" t="str">
        <f t="shared" si="3"/>
        <v>Activité élevée</v>
      </c>
    </row>
    <row r="235" spans="1:10" x14ac:dyDescent="0.45">
      <c r="A235">
        <v>219</v>
      </c>
      <c r="B235" t="s">
        <v>9</v>
      </c>
      <c r="C235" t="s">
        <v>10</v>
      </c>
      <c r="D235">
        <v>2026</v>
      </c>
      <c r="E235">
        <v>4</v>
      </c>
      <c r="F235" t="s">
        <v>13</v>
      </c>
      <c r="G235">
        <v>354</v>
      </c>
      <c r="H235">
        <v>259</v>
      </c>
      <c r="I235">
        <v>8.3000000000000007</v>
      </c>
      <c r="J235" t="str">
        <f t="shared" si="3"/>
        <v>Activité normale</v>
      </c>
    </row>
    <row r="236" spans="1:10" x14ac:dyDescent="0.45">
      <c r="A236">
        <v>220</v>
      </c>
      <c r="B236" t="s">
        <v>9</v>
      </c>
      <c r="C236" t="s">
        <v>10</v>
      </c>
      <c r="D236">
        <v>2026</v>
      </c>
      <c r="E236">
        <v>4</v>
      </c>
      <c r="F236" t="s">
        <v>14</v>
      </c>
      <c r="G236">
        <v>168</v>
      </c>
      <c r="H236">
        <v>119</v>
      </c>
      <c r="I236">
        <v>8.6</v>
      </c>
      <c r="J236" t="str">
        <f t="shared" si="3"/>
        <v>Activité normale</v>
      </c>
    </row>
    <row r="237" spans="1:10" x14ac:dyDescent="0.45">
      <c r="A237">
        <v>221</v>
      </c>
      <c r="B237" t="s">
        <v>15</v>
      </c>
      <c r="C237" t="s">
        <v>10</v>
      </c>
      <c r="D237">
        <v>2026</v>
      </c>
      <c r="E237">
        <v>4</v>
      </c>
      <c r="F237" t="s">
        <v>11</v>
      </c>
      <c r="G237">
        <v>329</v>
      </c>
      <c r="H237">
        <v>282</v>
      </c>
      <c r="I237">
        <v>6.1</v>
      </c>
      <c r="J237" t="str">
        <f t="shared" si="3"/>
        <v>Activité normale</v>
      </c>
    </row>
    <row r="238" spans="1:10" x14ac:dyDescent="0.45">
      <c r="A238">
        <v>222</v>
      </c>
      <c r="B238" t="s">
        <v>15</v>
      </c>
      <c r="C238" t="s">
        <v>10</v>
      </c>
      <c r="D238">
        <v>2026</v>
      </c>
      <c r="E238">
        <v>4</v>
      </c>
      <c r="F238" t="s">
        <v>12</v>
      </c>
      <c r="G238">
        <v>468</v>
      </c>
      <c r="H238">
        <v>320</v>
      </c>
      <c r="I238">
        <v>1.7</v>
      </c>
      <c r="J238" t="str">
        <f t="shared" si="3"/>
        <v>Activité normale</v>
      </c>
    </row>
    <row r="239" spans="1:10" x14ac:dyDescent="0.45">
      <c r="A239">
        <v>223</v>
      </c>
      <c r="B239" t="s">
        <v>15</v>
      </c>
      <c r="C239" t="s">
        <v>10</v>
      </c>
      <c r="D239">
        <v>2026</v>
      </c>
      <c r="E239">
        <v>4</v>
      </c>
      <c r="F239" t="s">
        <v>13</v>
      </c>
      <c r="G239">
        <v>412</v>
      </c>
      <c r="H239">
        <v>252</v>
      </c>
      <c r="I239">
        <v>5.4</v>
      </c>
      <c r="J239" t="str">
        <f t="shared" si="3"/>
        <v>Activité normale</v>
      </c>
    </row>
    <row r="240" spans="1:10" x14ac:dyDescent="0.45">
      <c r="A240">
        <v>224</v>
      </c>
      <c r="B240" t="s">
        <v>15</v>
      </c>
      <c r="C240" t="s">
        <v>10</v>
      </c>
      <c r="D240">
        <v>2026</v>
      </c>
      <c r="E240">
        <v>4</v>
      </c>
      <c r="F240" t="s">
        <v>14</v>
      </c>
      <c r="G240">
        <v>443</v>
      </c>
      <c r="H240">
        <v>425</v>
      </c>
      <c r="I240">
        <v>3.6</v>
      </c>
      <c r="J240" t="str">
        <f t="shared" si="3"/>
        <v>Activité normale</v>
      </c>
    </row>
    <row r="241" spans="1:10" x14ac:dyDescent="0.45">
      <c r="A241">
        <v>225</v>
      </c>
      <c r="B241" t="s">
        <v>16</v>
      </c>
      <c r="C241" t="s">
        <v>17</v>
      </c>
      <c r="D241">
        <v>2026</v>
      </c>
      <c r="E241">
        <v>4</v>
      </c>
      <c r="F241" t="s">
        <v>11</v>
      </c>
      <c r="G241">
        <v>366</v>
      </c>
      <c r="H241">
        <v>335</v>
      </c>
      <c r="I241">
        <v>7.1</v>
      </c>
      <c r="J241" t="str">
        <f t="shared" si="3"/>
        <v>Activité normale</v>
      </c>
    </row>
    <row r="242" spans="1:10" x14ac:dyDescent="0.45">
      <c r="A242">
        <v>226</v>
      </c>
      <c r="B242" t="s">
        <v>16</v>
      </c>
      <c r="C242" t="s">
        <v>17</v>
      </c>
      <c r="D242">
        <v>2026</v>
      </c>
      <c r="E242">
        <v>4</v>
      </c>
      <c r="F242" t="s">
        <v>12</v>
      </c>
      <c r="G242">
        <v>362</v>
      </c>
      <c r="H242">
        <v>323</v>
      </c>
      <c r="I242">
        <v>1.6</v>
      </c>
      <c r="J242" t="str">
        <f t="shared" si="3"/>
        <v>Activité normale</v>
      </c>
    </row>
    <row r="243" spans="1:10" x14ac:dyDescent="0.45">
      <c r="A243">
        <v>227</v>
      </c>
      <c r="B243" t="s">
        <v>16</v>
      </c>
      <c r="C243" t="s">
        <v>17</v>
      </c>
      <c r="D243">
        <v>2026</v>
      </c>
      <c r="E243">
        <v>4</v>
      </c>
      <c r="F243" t="s">
        <v>13</v>
      </c>
      <c r="G243">
        <v>275</v>
      </c>
      <c r="H243">
        <v>158</v>
      </c>
      <c r="I243">
        <v>3.4</v>
      </c>
      <c r="J243" t="str">
        <f t="shared" si="3"/>
        <v>Activité normale</v>
      </c>
    </row>
    <row r="244" spans="1:10" x14ac:dyDescent="0.45">
      <c r="A244">
        <v>228</v>
      </c>
      <c r="B244" t="s">
        <v>16</v>
      </c>
      <c r="C244" t="s">
        <v>17</v>
      </c>
      <c r="D244">
        <v>2026</v>
      </c>
      <c r="E244">
        <v>4</v>
      </c>
      <c r="F244" t="s">
        <v>14</v>
      </c>
      <c r="G244">
        <v>496</v>
      </c>
      <c r="H244">
        <v>373</v>
      </c>
      <c r="I244">
        <v>5.9</v>
      </c>
      <c r="J244" t="str">
        <f t="shared" si="3"/>
        <v>Activité normale</v>
      </c>
    </row>
    <row r="245" spans="1:10" x14ac:dyDescent="0.45">
      <c r="A245">
        <v>229</v>
      </c>
      <c r="B245" t="s">
        <v>18</v>
      </c>
      <c r="C245" t="s">
        <v>17</v>
      </c>
      <c r="D245">
        <v>2026</v>
      </c>
      <c r="E245">
        <v>4</v>
      </c>
      <c r="F245" t="s">
        <v>11</v>
      </c>
      <c r="G245">
        <v>326</v>
      </c>
      <c r="H245">
        <v>284</v>
      </c>
      <c r="I245">
        <v>6.7</v>
      </c>
      <c r="J245" t="str">
        <f t="shared" si="3"/>
        <v>Activité normale</v>
      </c>
    </row>
    <row r="246" spans="1:10" x14ac:dyDescent="0.45">
      <c r="A246">
        <v>230</v>
      </c>
      <c r="B246" t="s">
        <v>18</v>
      </c>
      <c r="C246" t="s">
        <v>17</v>
      </c>
      <c r="D246">
        <v>2026</v>
      </c>
      <c r="E246">
        <v>4</v>
      </c>
      <c r="F246" t="s">
        <v>12</v>
      </c>
      <c r="G246">
        <v>582</v>
      </c>
      <c r="H246">
        <v>520</v>
      </c>
      <c r="I246">
        <v>7.8</v>
      </c>
      <c r="J246" t="str">
        <f t="shared" si="3"/>
        <v>Activité élevée</v>
      </c>
    </row>
    <row r="247" spans="1:10" x14ac:dyDescent="0.45">
      <c r="A247">
        <v>231</v>
      </c>
      <c r="B247" t="s">
        <v>18</v>
      </c>
      <c r="C247" t="s">
        <v>17</v>
      </c>
      <c r="D247">
        <v>2026</v>
      </c>
      <c r="E247">
        <v>4</v>
      </c>
      <c r="F247" t="s">
        <v>13</v>
      </c>
      <c r="G247">
        <v>175</v>
      </c>
      <c r="H247">
        <v>124</v>
      </c>
      <c r="I247">
        <v>3.3</v>
      </c>
      <c r="J247" t="str">
        <f t="shared" si="3"/>
        <v>Activité normale</v>
      </c>
    </row>
    <row r="248" spans="1:10" x14ac:dyDescent="0.45">
      <c r="A248">
        <v>232</v>
      </c>
      <c r="B248" t="s">
        <v>18</v>
      </c>
      <c r="C248" t="s">
        <v>17</v>
      </c>
      <c r="D248">
        <v>2026</v>
      </c>
      <c r="E248">
        <v>4</v>
      </c>
      <c r="F248" t="s">
        <v>14</v>
      </c>
      <c r="G248">
        <v>329</v>
      </c>
      <c r="H248">
        <v>242</v>
      </c>
      <c r="I248">
        <v>6.8</v>
      </c>
      <c r="J248" t="str">
        <f t="shared" si="3"/>
        <v>Activité normale</v>
      </c>
    </row>
    <row r="249" spans="1:10" hidden="1" x14ac:dyDescent="0.45">
      <c r="A249">
        <v>233</v>
      </c>
      <c r="B249" t="s">
        <v>19</v>
      </c>
      <c r="C249" t="s">
        <v>20</v>
      </c>
      <c r="D249">
        <v>2026</v>
      </c>
      <c r="E249">
        <v>4</v>
      </c>
      <c r="F249" t="s">
        <v>11</v>
      </c>
      <c r="G249">
        <v>457</v>
      </c>
      <c r="H249">
        <v>349</v>
      </c>
      <c r="I249">
        <v>5.9</v>
      </c>
      <c r="J249" t="str">
        <f t="shared" si="3"/>
        <v>Activité normale</v>
      </c>
    </row>
    <row r="250" spans="1:10" hidden="1" x14ac:dyDescent="0.45">
      <c r="A250">
        <v>234</v>
      </c>
      <c r="B250" t="s">
        <v>19</v>
      </c>
      <c r="C250" t="s">
        <v>20</v>
      </c>
      <c r="D250">
        <v>2026</v>
      </c>
      <c r="E250">
        <v>4</v>
      </c>
      <c r="F250" t="s">
        <v>12</v>
      </c>
      <c r="G250">
        <v>432</v>
      </c>
      <c r="H250">
        <v>324</v>
      </c>
      <c r="I250">
        <v>9.5</v>
      </c>
      <c r="J250" t="str">
        <f t="shared" si="3"/>
        <v>Activité normale</v>
      </c>
    </row>
    <row r="251" spans="1:10" hidden="1" x14ac:dyDescent="0.45">
      <c r="A251">
        <v>235</v>
      </c>
      <c r="B251" t="s">
        <v>19</v>
      </c>
      <c r="C251" t="s">
        <v>20</v>
      </c>
      <c r="D251">
        <v>2026</v>
      </c>
      <c r="E251">
        <v>4</v>
      </c>
      <c r="F251" t="s">
        <v>13</v>
      </c>
      <c r="G251">
        <v>643</v>
      </c>
      <c r="H251">
        <v>490</v>
      </c>
      <c r="I251">
        <v>4.3</v>
      </c>
      <c r="J251" t="str">
        <f t="shared" si="3"/>
        <v>Activité élevée</v>
      </c>
    </row>
    <row r="252" spans="1:10" hidden="1" x14ac:dyDescent="0.45">
      <c r="A252">
        <v>236</v>
      </c>
      <c r="B252" t="s">
        <v>19</v>
      </c>
      <c r="C252" t="s">
        <v>20</v>
      </c>
      <c r="D252">
        <v>2026</v>
      </c>
      <c r="E252">
        <v>4</v>
      </c>
      <c r="F252" t="s">
        <v>14</v>
      </c>
      <c r="G252">
        <v>544</v>
      </c>
      <c r="H252">
        <v>410</v>
      </c>
      <c r="I252">
        <v>4</v>
      </c>
      <c r="J252" t="str">
        <f t="shared" si="3"/>
        <v>Activité élevée</v>
      </c>
    </row>
    <row r="253" spans="1:10" x14ac:dyDescent="0.45">
      <c r="A253">
        <v>237</v>
      </c>
      <c r="B253" t="s">
        <v>21</v>
      </c>
      <c r="C253" t="s">
        <v>22</v>
      </c>
      <c r="D253">
        <v>2026</v>
      </c>
      <c r="E253">
        <v>4</v>
      </c>
      <c r="F253" t="s">
        <v>11</v>
      </c>
      <c r="G253">
        <v>316</v>
      </c>
      <c r="H253">
        <v>188</v>
      </c>
      <c r="I253">
        <v>7.3</v>
      </c>
      <c r="J253" t="str">
        <f t="shared" si="3"/>
        <v>Activité normale</v>
      </c>
    </row>
    <row r="254" spans="1:10" x14ac:dyDescent="0.45">
      <c r="A254">
        <v>238</v>
      </c>
      <c r="B254" t="s">
        <v>21</v>
      </c>
      <c r="C254" t="s">
        <v>22</v>
      </c>
      <c r="D254">
        <v>2026</v>
      </c>
      <c r="E254">
        <v>4</v>
      </c>
      <c r="F254" t="s">
        <v>12</v>
      </c>
      <c r="G254">
        <v>403</v>
      </c>
      <c r="H254">
        <v>231</v>
      </c>
      <c r="I254">
        <v>7.4</v>
      </c>
      <c r="J254" t="str">
        <f t="shared" si="3"/>
        <v>Activité normale</v>
      </c>
    </row>
    <row r="255" spans="1:10" x14ac:dyDescent="0.45">
      <c r="A255">
        <v>239</v>
      </c>
      <c r="B255" t="s">
        <v>21</v>
      </c>
      <c r="C255" t="s">
        <v>22</v>
      </c>
      <c r="D255">
        <v>2026</v>
      </c>
      <c r="E255">
        <v>4</v>
      </c>
      <c r="F255" t="s">
        <v>13</v>
      </c>
      <c r="G255">
        <v>269</v>
      </c>
      <c r="H255">
        <v>183</v>
      </c>
      <c r="I255">
        <v>3.2</v>
      </c>
      <c r="J255" t="str">
        <f t="shared" si="3"/>
        <v>Activité normale</v>
      </c>
    </row>
    <row r="256" spans="1:10" x14ac:dyDescent="0.45">
      <c r="A256">
        <v>240</v>
      </c>
      <c r="B256" t="s">
        <v>21</v>
      </c>
      <c r="C256" t="s">
        <v>22</v>
      </c>
      <c r="D256">
        <v>2026</v>
      </c>
      <c r="E256">
        <v>4</v>
      </c>
      <c r="F256" t="s">
        <v>14</v>
      </c>
      <c r="G256">
        <v>575</v>
      </c>
      <c r="H256">
        <v>428</v>
      </c>
      <c r="I256">
        <v>7.3</v>
      </c>
      <c r="J256" t="str">
        <f t="shared" si="3"/>
        <v>Activité élevée</v>
      </c>
    </row>
    <row r="257" spans="1:10" x14ac:dyDescent="0.45">
      <c r="A257">
        <v>241</v>
      </c>
      <c r="B257" t="s">
        <v>9</v>
      </c>
      <c r="C257" t="s">
        <v>10</v>
      </c>
      <c r="D257">
        <v>2026</v>
      </c>
      <c r="E257">
        <v>5</v>
      </c>
      <c r="F257" t="s">
        <v>11</v>
      </c>
      <c r="G257">
        <v>617</v>
      </c>
      <c r="H257">
        <v>613</v>
      </c>
      <c r="I257">
        <v>3.8</v>
      </c>
      <c r="J257" t="str">
        <f t="shared" si="3"/>
        <v>Activité élevée</v>
      </c>
    </row>
    <row r="258" spans="1:10" x14ac:dyDescent="0.45">
      <c r="A258">
        <v>242</v>
      </c>
      <c r="B258" t="s">
        <v>9</v>
      </c>
      <c r="C258" t="s">
        <v>10</v>
      </c>
      <c r="D258">
        <v>2026</v>
      </c>
      <c r="E258">
        <v>5</v>
      </c>
      <c r="F258" t="s">
        <v>12</v>
      </c>
      <c r="G258">
        <v>182</v>
      </c>
      <c r="H258">
        <v>115</v>
      </c>
      <c r="I258">
        <v>3.9</v>
      </c>
      <c r="J258" t="str">
        <f t="shared" si="3"/>
        <v>Activité normale</v>
      </c>
    </row>
    <row r="259" spans="1:10" x14ac:dyDescent="0.45">
      <c r="A259">
        <v>243</v>
      </c>
      <c r="B259" t="s">
        <v>9</v>
      </c>
      <c r="C259" t="s">
        <v>10</v>
      </c>
      <c r="D259">
        <v>2026</v>
      </c>
      <c r="E259">
        <v>5</v>
      </c>
      <c r="F259" t="s">
        <v>13</v>
      </c>
      <c r="G259">
        <v>449</v>
      </c>
      <c r="H259">
        <v>269</v>
      </c>
      <c r="I259">
        <v>3.9</v>
      </c>
      <c r="J259" t="str">
        <f t="shared" si="3"/>
        <v>Activité normale</v>
      </c>
    </row>
    <row r="260" spans="1:10" x14ac:dyDescent="0.45">
      <c r="A260">
        <v>244</v>
      </c>
      <c r="B260" t="s">
        <v>9</v>
      </c>
      <c r="C260" t="s">
        <v>10</v>
      </c>
      <c r="D260">
        <v>2026</v>
      </c>
      <c r="E260">
        <v>5</v>
      </c>
      <c r="F260" t="s">
        <v>14</v>
      </c>
      <c r="G260">
        <v>626</v>
      </c>
      <c r="H260">
        <v>377</v>
      </c>
      <c r="I260">
        <v>3.7</v>
      </c>
      <c r="J260" t="str">
        <f t="shared" si="3"/>
        <v>Activité élevée</v>
      </c>
    </row>
    <row r="261" spans="1:10" x14ac:dyDescent="0.45">
      <c r="A261">
        <v>245</v>
      </c>
      <c r="B261" t="s">
        <v>15</v>
      </c>
      <c r="C261" t="s">
        <v>10</v>
      </c>
      <c r="D261">
        <v>2026</v>
      </c>
      <c r="E261">
        <v>5</v>
      </c>
      <c r="F261" t="s">
        <v>11</v>
      </c>
      <c r="G261">
        <v>135</v>
      </c>
      <c r="H261">
        <v>104</v>
      </c>
      <c r="I261">
        <v>7.1</v>
      </c>
      <c r="J261" t="str">
        <f t="shared" si="3"/>
        <v>Activité normale</v>
      </c>
    </row>
    <row r="262" spans="1:10" x14ac:dyDescent="0.45">
      <c r="A262">
        <v>246</v>
      </c>
      <c r="B262" t="s">
        <v>15</v>
      </c>
      <c r="C262" t="s">
        <v>10</v>
      </c>
      <c r="D262">
        <v>2026</v>
      </c>
      <c r="E262">
        <v>5</v>
      </c>
      <c r="F262" t="s">
        <v>12</v>
      </c>
      <c r="G262">
        <v>209</v>
      </c>
      <c r="H262">
        <v>185</v>
      </c>
      <c r="I262">
        <v>8.4</v>
      </c>
      <c r="J262" t="str">
        <f t="shared" si="3"/>
        <v>Activité normale</v>
      </c>
    </row>
    <row r="263" spans="1:10" x14ac:dyDescent="0.45">
      <c r="A263">
        <v>247</v>
      </c>
      <c r="B263" t="s">
        <v>15</v>
      </c>
      <c r="C263" t="s">
        <v>10</v>
      </c>
      <c r="D263">
        <v>2026</v>
      </c>
      <c r="E263">
        <v>5</v>
      </c>
      <c r="F263" t="s">
        <v>13</v>
      </c>
      <c r="G263">
        <v>582</v>
      </c>
      <c r="H263">
        <v>343</v>
      </c>
      <c r="I263">
        <v>8.5</v>
      </c>
      <c r="J263" t="str">
        <f t="shared" si="3"/>
        <v>Activité élevée</v>
      </c>
    </row>
    <row r="264" spans="1:10" x14ac:dyDescent="0.45">
      <c r="A264">
        <v>248</v>
      </c>
      <c r="B264" t="s">
        <v>15</v>
      </c>
      <c r="C264" t="s">
        <v>10</v>
      </c>
      <c r="D264">
        <v>2026</v>
      </c>
      <c r="E264">
        <v>5</v>
      </c>
      <c r="F264" t="s">
        <v>14</v>
      </c>
      <c r="G264">
        <v>371</v>
      </c>
      <c r="H264">
        <v>305</v>
      </c>
      <c r="I264">
        <v>5.3</v>
      </c>
      <c r="J264" t="str">
        <f t="shared" si="3"/>
        <v>Activité normale</v>
      </c>
    </row>
    <row r="265" spans="1:10" x14ac:dyDescent="0.45">
      <c r="A265">
        <v>249</v>
      </c>
      <c r="B265" t="s">
        <v>16</v>
      </c>
      <c r="C265" t="s">
        <v>17</v>
      </c>
      <c r="D265">
        <v>2026</v>
      </c>
      <c r="E265">
        <v>5</v>
      </c>
      <c r="F265" t="s">
        <v>11</v>
      </c>
      <c r="G265">
        <v>428</v>
      </c>
      <c r="H265">
        <v>261</v>
      </c>
      <c r="I265">
        <v>9.1999999999999993</v>
      </c>
      <c r="J265" t="str">
        <f t="shared" si="3"/>
        <v>Activité normale</v>
      </c>
    </row>
    <row r="266" spans="1:10" x14ac:dyDescent="0.45">
      <c r="A266">
        <v>250</v>
      </c>
      <c r="B266" t="s">
        <v>16</v>
      </c>
      <c r="C266" t="s">
        <v>17</v>
      </c>
      <c r="D266">
        <v>2026</v>
      </c>
      <c r="E266">
        <v>5</v>
      </c>
      <c r="F266" t="s">
        <v>12</v>
      </c>
      <c r="G266">
        <v>338</v>
      </c>
      <c r="H266">
        <v>291</v>
      </c>
      <c r="I266">
        <v>2.4</v>
      </c>
      <c r="J266" t="str">
        <f t="shared" si="3"/>
        <v>Activité normale</v>
      </c>
    </row>
    <row r="267" spans="1:10" x14ac:dyDescent="0.45">
      <c r="A267">
        <v>251</v>
      </c>
      <c r="B267" t="s">
        <v>16</v>
      </c>
      <c r="C267" t="s">
        <v>17</v>
      </c>
      <c r="D267">
        <v>2026</v>
      </c>
      <c r="E267">
        <v>5</v>
      </c>
      <c r="F267" t="s">
        <v>13</v>
      </c>
      <c r="G267">
        <v>146</v>
      </c>
      <c r="H267">
        <v>124</v>
      </c>
      <c r="I267">
        <v>5.4</v>
      </c>
      <c r="J267" t="str">
        <f t="shared" si="3"/>
        <v>Activité normale</v>
      </c>
    </row>
    <row r="268" spans="1:10" x14ac:dyDescent="0.45">
      <c r="A268">
        <v>252</v>
      </c>
      <c r="B268" t="s">
        <v>16</v>
      </c>
      <c r="C268" t="s">
        <v>17</v>
      </c>
      <c r="D268">
        <v>2026</v>
      </c>
      <c r="E268">
        <v>5</v>
      </c>
      <c r="F268" t="s">
        <v>14</v>
      </c>
      <c r="G268">
        <v>134</v>
      </c>
      <c r="H268">
        <v>86</v>
      </c>
      <c r="I268">
        <v>2.7</v>
      </c>
      <c r="J268" t="str">
        <f t="shared" si="3"/>
        <v>Activité normale</v>
      </c>
    </row>
    <row r="269" spans="1:10" x14ac:dyDescent="0.45">
      <c r="A269">
        <v>253</v>
      </c>
      <c r="B269" t="s">
        <v>18</v>
      </c>
      <c r="C269" t="s">
        <v>17</v>
      </c>
      <c r="D269">
        <v>2026</v>
      </c>
      <c r="E269">
        <v>5</v>
      </c>
      <c r="F269" t="s">
        <v>11</v>
      </c>
      <c r="G269">
        <v>391</v>
      </c>
      <c r="H269">
        <v>216</v>
      </c>
      <c r="I269">
        <v>9.5</v>
      </c>
      <c r="J269" t="str">
        <f t="shared" si="3"/>
        <v>Activité normale</v>
      </c>
    </row>
    <row r="270" spans="1:10" x14ac:dyDescent="0.45">
      <c r="A270">
        <v>254</v>
      </c>
      <c r="B270" t="s">
        <v>18</v>
      </c>
      <c r="C270" t="s">
        <v>17</v>
      </c>
      <c r="D270">
        <v>2026</v>
      </c>
      <c r="E270">
        <v>5</v>
      </c>
      <c r="F270" t="s">
        <v>12</v>
      </c>
      <c r="G270">
        <v>201</v>
      </c>
      <c r="H270">
        <v>171</v>
      </c>
      <c r="I270">
        <v>7.6</v>
      </c>
      <c r="J270" t="str">
        <f t="shared" si="3"/>
        <v>Activité normale</v>
      </c>
    </row>
    <row r="271" spans="1:10" x14ac:dyDescent="0.45">
      <c r="A271">
        <v>255</v>
      </c>
      <c r="B271" t="s">
        <v>18</v>
      </c>
      <c r="C271" t="s">
        <v>17</v>
      </c>
      <c r="D271">
        <v>2026</v>
      </c>
      <c r="E271">
        <v>5</v>
      </c>
      <c r="F271" t="s">
        <v>13</v>
      </c>
      <c r="G271">
        <v>311</v>
      </c>
      <c r="H271">
        <v>288</v>
      </c>
      <c r="I271">
        <v>4.5</v>
      </c>
      <c r="J271" t="str">
        <f t="shared" si="3"/>
        <v>Activité normale</v>
      </c>
    </row>
    <row r="272" spans="1:10" x14ac:dyDescent="0.45">
      <c r="A272">
        <v>256</v>
      </c>
      <c r="B272" t="s">
        <v>18</v>
      </c>
      <c r="C272" t="s">
        <v>17</v>
      </c>
      <c r="D272">
        <v>2026</v>
      </c>
      <c r="E272">
        <v>5</v>
      </c>
      <c r="F272" t="s">
        <v>14</v>
      </c>
      <c r="G272">
        <v>533</v>
      </c>
      <c r="H272">
        <v>418</v>
      </c>
      <c r="I272">
        <v>8.4</v>
      </c>
      <c r="J272" t="str">
        <f t="shared" si="3"/>
        <v>Activité élevée</v>
      </c>
    </row>
    <row r="273" spans="1:10" hidden="1" x14ac:dyDescent="0.45">
      <c r="A273">
        <v>257</v>
      </c>
      <c r="B273" t="s">
        <v>19</v>
      </c>
      <c r="C273" t="s">
        <v>20</v>
      </c>
      <c r="D273">
        <v>2026</v>
      </c>
      <c r="E273">
        <v>5</v>
      </c>
      <c r="F273" t="s">
        <v>11</v>
      </c>
      <c r="G273">
        <v>519</v>
      </c>
      <c r="H273">
        <v>415</v>
      </c>
      <c r="I273">
        <v>6</v>
      </c>
      <c r="J273" t="str">
        <f t="shared" si="3"/>
        <v>Activité élevée</v>
      </c>
    </row>
    <row r="274" spans="1:10" hidden="1" x14ac:dyDescent="0.45">
      <c r="A274">
        <v>258</v>
      </c>
      <c r="B274" t="s">
        <v>19</v>
      </c>
      <c r="C274" t="s">
        <v>20</v>
      </c>
      <c r="D274">
        <v>2026</v>
      </c>
      <c r="E274">
        <v>5</v>
      </c>
      <c r="F274" t="s">
        <v>12</v>
      </c>
      <c r="G274">
        <v>141</v>
      </c>
      <c r="H274">
        <v>82</v>
      </c>
      <c r="I274">
        <v>9.1</v>
      </c>
      <c r="J274" t="str">
        <f t="shared" ref="J274:J304" si="4">IF(G274&gt;500,"Activité élevée","Activité normale")</f>
        <v>Activité normale</v>
      </c>
    </row>
    <row r="275" spans="1:10" hidden="1" x14ac:dyDescent="0.45">
      <c r="A275">
        <v>259</v>
      </c>
      <c r="B275" t="s">
        <v>19</v>
      </c>
      <c r="C275" t="s">
        <v>20</v>
      </c>
      <c r="D275">
        <v>2026</v>
      </c>
      <c r="E275">
        <v>5</v>
      </c>
      <c r="F275" t="s">
        <v>13</v>
      </c>
      <c r="G275">
        <v>292</v>
      </c>
      <c r="H275">
        <v>200</v>
      </c>
      <c r="I275">
        <v>3.6</v>
      </c>
      <c r="J275" t="str">
        <f t="shared" si="4"/>
        <v>Activité normale</v>
      </c>
    </row>
    <row r="276" spans="1:10" hidden="1" x14ac:dyDescent="0.45">
      <c r="A276">
        <v>260</v>
      </c>
      <c r="B276" t="s">
        <v>19</v>
      </c>
      <c r="C276" t="s">
        <v>20</v>
      </c>
      <c r="D276">
        <v>2026</v>
      </c>
      <c r="E276">
        <v>5</v>
      </c>
      <c r="F276" t="s">
        <v>14</v>
      </c>
      <c r="G276">
        <v>163</v>
      </c>
      <c r="H276">
        <v>101</v>
      </c>
      <c r="I276">
        <v>3.4</v>
      </c>
      <c r="J276" t="str">
        <f t="shared" si="4"/>
        <v>Activité normale</v>
      </c>
    </row>
    <row r="277" spans="1:10" x14ac:dyDescent="0.45">
      <c r="A277">
        <v>261</v>
      </c>
      <c r="B277" t="s">
        <v>21</v>
      </c>
      <c r="C277" t="s">
        <v>22</v>
      </c>
      <c r="D277">
        <v>2026</v>
      </c>
      <c r="E277">
        <v>5</v>
      </c>
      <c r="F277" t="s">
        <v>11</v>
      </c>
      <c r="G277">
        <v>645</v>
      </c>
      <c r="H277">
        <v>360</v>
      </c>
      <c r="I277">
        <v>2.8</v>
      </c>
      <c r="J277" t="str">
        <f t="shared" si="4"/>
        <v>Activité élevée</v>
      </c>
    </row>
    <row r="278" spans="1:10" x14ac:dyDescent="0.45">
      <c r="A278">
        <v>262</v>
      </c>
      <c r="B278" t="s">
        <v>21</v>
      </c>
      <c r="C278" t="s">
        <v>22</v>
      </c>
      <c r="D278">
        <v>2026</v>
      </c>
      <c r="E278">
        <v>5</v>
      </c>
      <c r="F278" t="s">
        <v>12</v>
      </c>
      <c r="G278">
        <v>498</v>
      </c>
      <c r="H278">
        <v>364</v>
      </c>
      <c r="I278">
        <v>7</v>
      </c>
      <c r="J278" t="str">
        <f t="shared" si="4"/>
        <v>Activité normale</v>
      </c>
    </row>
    <row r="279" spans="1:10" x14ac:dyDescent="0.45">
      <c r="A279">
        <v>263</v>
      </c>
      <c r="B279" t="s">
        <v>21</v>
      </c>
      <c r="C279" t="s">
        <v>22</v>
      </c>
      <c r="D279">
        <v>2026</v>
      </c>
      <c r="E279">
        <v>5</v>
      </c>
      <c r="F279" t="s">
        <v>13</v>
      </c>
      <c r="G279">
        <v>561</v>
      </c>
      <c r="H279">
        <v>429</v>
      </c>
      <c r="I279">
        <v>1.8</v>
      </c>
      <c r="J279" t="str">
        <f t="shared" si="4"/>
        <v>Activité élevée</v>
      </c>
    </row>
    <row r="280" spans="1:10" x14ac:dyDescent="0.45">
      <c r="A280">
        <v>264</v>
      </c>
      <c r="B280" t="s">
        <v>21</v>
      </c>
      <c r="C280" t="s">
        <v>22</v>
      </c>
      <c r="D280">
        <v>2026</v>
      </c>
      <c r="E280">
        <v>5</v>
      </c>
      <c r="F280" t="s">
        <v>14</v>
      </c>
      <c r="G280">
        <v>375</v>
      </c>
      <c r="H280">
        <v>367</v>
      </c>
      <c r="I280">
        <v>3.8</v>
      </c>
      <c r="J280" t="str">
        <f t="shared" si="4"/>
        <v>Activité normale</v>
      </c>
    </row>
    <row r="281" spans="1:10" x14ac:dyDescent="0.45">
      <c r="A281">
        <v>265</v>
      </c>
      <c r="B281" t="s">
        <v>9</v>
      </c>
      <c r="C281" t="s">
        <v>10</v>
      </c>
      <c r="D281">
        <v>2026</v>
      </c>
      <c r="E281">
        <v>6</v>
      </c>
      <c r="F281" t="s">
        <v>11</v>
      </c>
      <c r="G281">
        <v>544</v>
      </c>
      <c r="H281">
        <v>308</v>
      </c>
      <c r="I281">
        <v>7</v>
      </c>
      <c r="J281" t="str">
        <f t="shared" si="4"/>
        <v>Activité élevée</v>
      </c>
    </row>
    <row r="282" spans="1:10" x14ac:dyDescent="0.45">
      <c r="A282">
        <v>266</v>
      </c>
      <c r="B282" t="s">
        <v>9</v>
      </c>
      <c r="C282" t="s">
        <v>10</v>
      </c>
      <c r="D282">
        <v>2026</v>
      </c>
      <c r="E282">
        <v>6</v>
      </c>
      <c r="F282" t="s">
        <v>12</v>
      </c>
      <c r="G282">
        <v>350</v>
      </c>
      <c r="H282">
        <v>335</v>
      </c>
      <c r="I282">
        <v>6.2</v>
      </c>
      <c r="J282" t="str">
        <f t="shared" si="4"/>
        <v>Activité normale</v>
      </c>
    </row>
    <row r="283" spans="1:10" x14ac:dyDescent="0.45">
      <c r="A283">
        <v>267</v>
      </c>
      <c r="B283" t="s">
        <v>9</v>
      </c>
      <c r="C283" t="s">
        <v>10</v>
      </c>
      <c r="D283">
        <v>2026</v>
      </c>
      <c r="E283">
        <v>6</v>
      </c>
      <c r="F283" t="s">
        <v>13</v>
      </c>
      <c r="G283">
        <v>282</v>
      </c>
      <c r="H283">
        <v>249</v>
      </c>
      <c r="I283">
        <v>2.4</v>
      </c>
      <c r="J283" t="str">
        <f t="shared" si="4"/>
        <v>Activité normale</v>
      </c>
    </row>
    <row r="284" spans="1:10" x14ac:dyDescent="0.45">
      <c r="A284">
        <v>268</v>
      </c>
      <c r="B284" t="s">
        <v>9</v>
      </c>
      <c r="C284" t="s">
        <v>10</v>
      </c>
      <c r="D284">
        <v>2026</v>
      </c>
      <c r="E284">
        <v>6</v>
      </c>
      <c r="F284" t="s">
        <v>14</v>
      </c>
      <c r="G284">
        <v>310</v>
      </c>
      <c r="H284">
        <v>193</v>
      </c>
      <c r="I284">
        <v>8.8000000000000007</v>
      </c>
      <c r="J284" t="str">
        <f t="shared" si="4"/>
        <v>Activité normale</v>
      </c>
    </row>
    <row r="285" spans="1:10" x14ac:dyDescent="0.45">
      <c r="A285">
        <v>269</v>
      </c>
      <c r="B285" t="s">
        <v>15</v>
      </c>
      <c r="C285" t="s">
        <v>10</v>
      </c>
      <c r="D285">
        <v>2026</v>
      </c>
      <c r="E285">
        <v>6</v>
      </c>
      <c r="F285" t="s">
        <v>11</v>
      </c>
      <c r="G285">
        <v>225</v>
      </c>
      <c r="H285">
        <v>121</v>
      </c>
      <c r="I285">
        <v>2</v>
      </c>
      <c r="J285" t="str">
        <f t="shared" si="4"/>
        <v>Activité normale</v>
      </c>
    </row>
    <row r="286" spans="1:10" x14ac:dyDescent="0.45">
      <c r="A286">
        <v>270</v>
      </c>
      <c r="B286" t="s">
        <v>15</v>
      </c>
      <c r="C286" t="s">
        <v>10</v>
      </c>
      <c r="D286">
        <v>2026</v>
      </c>
      <c r="E286">
        <v>6</v>
      </c>
      <c r="F286" t="s">
        <v>12</v>
      </c>
      <c r="G286">
        <v>394</v>
      </c>
      <c r="H286">
        <v>349</v>
      </c>
      <c r="I286">
        <v>7.5</v>
      </c>
      <c r="J286" t="str">
        <f t="shared" si="4"/>
        <v>Activité normale</v>
      </c>
    </row>
    <row r="287" spans="1:10" x14ac:dyDescent="0.45">
      <c r="A287">
        <v>271</v>
      </c>
      <c r="B287" t="s">
        <v>15</v>
      </c>
      <c r="C287" t="s">
        <v>10</v>
      </c>
      <c r="D287">
        <v>2026</v>
      </c>
      <c r="E287">
        <v>6</v>
      </c>
      <c r="F287" t="s">
        <v>13</v>
      </c>
      <c r="G287">
        <v>375</v>
      </c>
      <c r="H287">
        <v>299</v>
      </c>
      <c r="I287">
        <v>2.5</v>
      </c>
      <c r="J287" t="str">
        <f t="shared" si="4"/>
        <v>Activité normale</v>
      </c>
    </row>
    <row r="288" spans="1:10" x14ac:dyDescent="0.45">
      <c r="A288">
        <v>272</v>
      </c>
      <c r="B288" t="s">
        <v>15</v>
      </c>
      <c r="C288" t="s">
        <v>10</v>
      </c>
      <c r="D288">
        <v>2026</v>
      </c>
      <c r="E288">
        <v>6</v>
      </c>
      <c r="F288" t="s">
        <v>14</v>
      </c>
      <c r="G288">
        <v>391</v>
      </c>
      <c r="H288">
        <v>374</v>
      </c>
      <c r="I288">
        <v>4.7</v>
      </c>
      <c r="J288" t="str">
        <f t="shared" si="4"/>
        <v>Activité normale</v>
      </c>
    </row>
    <row r="289" spans="1:10" x14ac:dyDescent="0.45">
      <c r="A289">
        <v>273</v>
      </c>
      <c r="B289" t="s">
        <v>16</v>
      </c>
      <c r="C289" t="s">
        <v>17</v>
      </c>
      <c r="D289">
        <v>2026</v>
      </c>
      <c r="E289">
        <v>6</v>
      </c>
      <c r="F289" t="s">
        <v>11</v>
      </c>
      <c r="G289">
        <v>358</v>
      </c>
      <c r="H289">
        <v>307</v>
      </c>
      <c r="I289">
        <v>5.8</v>
      </c>
      <c r="J289" t="str">
        <f t="shared" si="4"/>
        <v>Activité normale</v>
      </c>
    </row>
    <row r="290" spans="1:10" x14ac:dyDescent="0.45">
      <c r="A290">
        <v>274</v>
      </c>
      <c r="B290" t="s">
        <v>16</v>
      </c>
      <c r="C290" t="s">
        <v>17</v>
      </c>
      <c r="D290">
        <v>2026</v>
      </c>
      <c r="E290">
        <v>6</v>
      </c>
      <c r="F290" t="s">
        <v>12</v>
      </c>
      <c r="G290">
        <v>528</v>
      </c>
      <c r="H290">
        <v>305</v>
      </c>
      <c r="I290">
        <v>6.3</v>
      </c>
      <c r="J290" t="str">
        <f t="shared" si="4"/>
        <v>Activité élevée</v>
      </c>
    </row>
    <row r="291" spans="1:10" x14ac:dyDescent="0.45">
      <c r="A291">
        <v>275</v>
      </c>
      <c r="B291" t="s">
        <v>16</v>
      </c>
      <c r="C291" t="s">
        <v>17</v>
      </c>
      <c r="D291">
        <v>2026</v>
      </c>
      <c r="E291">
        <v>6</v>
      </c>
      <c r="F291" t="s">
        <v>13</v>
      </c>
      <c r="G291">
        <v>522</v>
      </c>
      <c r="H291">
        <v>426</v>
      </c>
      <c r="I291">
        <v>6.3</v>
      </c>
      <c r="J291" t="str">
        <f t="shared" si="4"/>
        <v>Activité élevée</v>
      </c>
    </row>
    <row r="292" spans="1:10" x14ac:dyDescent="0.45">
      <c r="A292">
        <v>276</v>
      </c>
      <c r="B292" t="s">
        <v>16</v>
      </c>
      <c r="C292" t="s">
        <v>17</v>
      </c>
      <c r="D292">
        <v>2026</v>
      </c>
      <c r="E292">
        <v>6</v>
      </c>
      <c r="F292" t="s">
        <v>14</v>
      </c>
      <c r="G292">
        <v>106</v>
      </c>
      <c r="H292">
        <v>58</v>
      </c>
      <c r="I292">
        <v>3.3</v>
      </c>
      <c r="J292" t="str">
        <f t="shared" si="4"/>
        <v>Activité normale</v>
      </c>
    </row>
    <row r="293" spans="1:10" x14ac:dyDescent="0.45">
      <c r="A293">
        <v>277</v>
      </c>
      <c r="B293" t="s">
        <v>18</v>
      </c>
      <c r="C293" t="s">
        <v>17</v>
      </c>
      <c r="D293">
        <v>2026</v>
      </c>
      <c r="E293">
        <v>6</v>
      </c>
      <c r="F293" t="s">
        <v>11</v>
      </c>
      <c r="G293">
        <v>101</v>
      </c>
      <c r="H293">
        <v>98</v>
      </c>
      <c r="I293">
        <v>6.9</v>
      </c>
      <c r="J293" t="str">
        <f t="shared" si="4"/>
        <v>Activité normale</v>
      </c>
    </row>
    <row r="294" spans="1:10" x14ac:dyDescent="0.45">
      <c r="A294">
        <v>278</v>
      </c>
      <c r="B294" t="s">
        <v>18</v>
      </c>
      <c r="C294" t="s">
        <v>17</v>
      </c>
      <c r="D294">
        <v>2026</v>
      </c>
      <c r="E294">
        <v>6</v>
      </c>
      <c r="F294" t="s">
        <v>12</v>
      </c>
      <c r="G294">
        <v>355</v>
      </c>
      <c r="H294">
        <v>324</v>
      </c>
      <c r="I294">
        <v>1.8</v>
      </c>
      <c r="J294" t="str">
        <f t="shared" si="4"/>
        <v>Activité normale</v>
      </c>
    </row>
    <row r="295" spans="1:10" x14ac:dyDescent="0.45">
      <c r="A295">
        <v>279</v>
      </c>
      <c r="B295" t="s">
        <v>18</v>
      </c>
      <c r="C295" t="s">
        <v>17</v>
      </c>
      <c r="D295">
        <v>2026</v>
      </c>
      <c r="E295">
        <v>6</v>
      </c>
      <c r="F295" t="s">
        <v>13</v>
      </c>
      <c r="G295">
        <v>259</v>
      </c>
      <c r="H295">
        <v>249</v>
      </c>
      <c r="I295">
        <v>5.7</v>
      </c>
      <c r="J295" t="str">
        <f t="shared" si="4"/>
        <v>Activité normale</v>
      </c>
    </row>
    <row r="296" spans="1:10" x14ac:dyDescent="0.45">
      <c r="A296">
        <v>280</v>
      </c>
      <c r="B296" t="s">
        <v>18</v>
      </c>
      <c r="C296" t="s">
        <v>17</v>
      </c>
      <c r="D296">
        <v>2026</v>
      </c>
      <c r="E296">
        <v>6</v>
      </c>
      <c r="F296" t="s">
        <v>14</v>
      </c>
      <c r="G296">
        <v>532</v>
      </c>
      <c r="H296">
        <v>408</v>
      </c>
      <c r="I296">
        <v>3</v>
      </c>
      <c r="J296" t="str">
        <f t="shared" si="4"/>
        <v>Activité élevée</v>
      </c>
    </row>
    <row r="297" spans="1:10" hidden="1" x14ac:dyDescent="0.45">
      <c r="A297">
        <v>281</v>
      </c>
      <c r="B297" t="s">
        <v>19</v>
      </c>
      <c r="C297" t="s">
        <v>20</v>
      </c>
      <c r="D297">
        <v>2026</v>
      </c>
      <c r="E297">
        <v>6</v>
      </c>
      <c r="F297" t="s">
        <v>11</v>
      </c>
      <c r="G297">
        <v>526</v>
      </c>
      <c r="H297">
        <v>514</v>
      </c>
      <c r="I297">
        <v>9.3000000000000007</v>
      </c>
      <c r="J297" t="str">
        <f t="shared" si="4"/>
        <v>Activité élevée</v>
      </c>
    </row>
    <row r="298" spans="1:10" hidden="1" x14ac:dyDescent="0.45">
      <c r="A298">
        <v>282</v>
      </c>
      <c r="B298" t="s">
        <v>19</v>
      </c>
      <c r="C298" t="s">
        <v>20</v>
      </c>
      <c r="D298">
        <v>2026</v>
      </c>
      <c r="E298">
        <v>6</v>
      </c>
      <c r="F298" t="s">
        <v>12</v>
      </c>
      <c r="G298">
        <v>561</v>
      </c>
      <c r="H298">
        <v>458</v>
      </c>
      <c r="I298">
        <v>4.8</v>
      </c>
      <c r="J298" t="str">
        <f t="shared" si="4"/>
        <v>Activité élevée</v>
      </c>
    </row>
    <row r="299" spans="1:10" hidden="1" x14ac:dyDescent="0.45">
      <c r="A299">
        <v>283</v>
      </c>
      <c r="B299" t="s">
        <v>19</v>
      </c>
      <c r="C299" t="s">
        <v>20</v>
      </c>
      <c r="D299">
        <v>2026</v>
      </c>
      <c r="E299">
        <v>6</v>
      </c>
      <c r="F299" t="s">
        <v>13</v>
      </c>
      <c r="G299">
        <v>408</v>
      </c>
      <c r="H299">
        <v>375</v>
      </c>
      <c r="I299">
        <v>2.2999999999999998</v>
      </c>
      <c r="J299" t="str">
        <f t="shared" si="4"/>
        <v>Activité normale</v>
      </c>
    </row>
    <row r="300" spans="1:10" hidden="1" x14ac:dyDescent="0.45">
      <c r="A300">
        <v>284</v>
      </c>
      <c r="B300" t="s">
        <v>19</v>
      </c>
      <c r="C300" t="s">
        <v>20</v>
      </c>
      <c r="D300">
        <v>2026</v>
      </c>
      <c r="E300">
        <v>6</v>
      </c>
      <c r="F300" t="s">
        <v>14</v>
      </c>
      <c r="G300">
        <v>244</v>
      </c>
      <c r="H300">
        <v>164</v>
      </c>
      <c r="I300">
        <v>4.8</v>
      </c>
      <c r="J300" t="str">
        <f t="shared" si="4"/>
        <v>Activité normale</v>
      </c>
    </row>
    <row r="301" spans="1:10" x14ac:dyDescent="0.45">
      <c r="A301">
        <v>285</v>
      </c>
      <c r="B301" t="s">
        <v>21</v>
      </c>
      <c r="C301" t="s">
        <v>22</v>
      </c>
      <c r="D301">
        <v>2026</v>
      </c>
      <c r="E301">
        <v>6</v>
      </c>
      <c r="F301" t="s">
        <v>11</v>
      </c>
      <c r="G301">
        <v>587</v>
      </c>
      <c r="H301">
        <v>440</v>
      </c>
      <c r="I301">
        <v>6.8</v>
      </c>
      <c r="J301" t="str">
        <f t="shared" si="4"/>
        <v>Activité élevée</v>
      </c>
    </row>
    <row r="302" spans="1:10" x14ac:dyDescent="0.45">
      <c r="A302">
        <v>286</v>
      </c>
      <c r="B302" t="s">
        <v>21</v>
      </c>
      <c r="C302" t="s">
        <v>22</v>
      </c>
      <c r="D302">
        <v>2026</v>
      </c>
      <c r="E302">
        <v>6</v>
      </c>
      <c r="F302" t="s">
        <v>12</v>
      </c>
      <c r="G302">
        <v>490</v>
      </c>
      <c r="H302">
        <v>453</v>
      </c>
      <c r="I302">
        <v>7.6</v>
      </c>
      <c r="J302" t="str">
        <f t="shared" si="4"/>
        <v>Activité normale</v>
      </c>
    </row>
    <row r="303" spans="1:10" x14ac:dyDescent="0.45">
      <c r="A303">
        <v>287</v>
      </c>
      <c r="B303" t="s">
        <v>21</v>
      </c>
      <c r="C303" t="s">
        <v>22</v>
      </c>
      <c r="D303">
        <v>2026</v>
      </c>
      <c r="E303">
        <v>6</v>
      </c>
      <c r="F303" t="s">
        <v>13</v>
      </c>
      <c r="G303">
        <v>117</v>
      </c>
      <c r="H303">
        <v>87</v>
      </c>
      <c r="I303">
        <v>2.2000000000000002</v>
      </c>
      <c r="J303" t="str">
        <f t="shared" si="4"/>
        <v>Activité normale</v>
      </c>
    </row>
    <row r="304" spans="1:10" x14ac:dyDescent="0.45">
      <c r="A304">
        <v>288</v>
      </c>
      <c r="B304" t="s">
        <v>21</v>
      </c>
      <c r="C304" t="s">
        <v>22</v>
      </c>
      <c r="D304">
        <v>2026</v>
      </c>
      <c r="E304">
        <v>6</v>
      </c>
      <c r="F304" t="s">
        <v>14</v>
      </c>
      <c r="G304">
        <v>338</v>
      </c>
      <c r="H304">
        <v>251</v>
      </c>
      <c r="I304">
        <v>2.4</v>
      </c>
      <c r="J304" t="str">
        <f t="shared" si="4"/>
        <v>Activité normale</v>
      </c>
    </row>
  </sheetData>
  <mergeCells count="1">
    <mergeCell ref="C1:H2"/>
  </mergeCell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821EB-7C25-4AC8-B23B-B6BA7D4465D8}">
  <sheetPr>
    <pageSetUpPr fitToPage="1"/>
  </sheetPr>
  <dimension ref="A1:P12"/>
  <sheetViews>
    <sheetView showGridLines="0" zoomScale="70" zoomScaleNormal="70" workbookViewId="0">
      <selection activeCell="I26" sqref="I26"/>
    </sheetView>
  </sheetViews>
  <sheetFormatPr baseColWidth="10" defaultRowHeight="14.25" x14ac:dyDescent="0.45"/>
  <cols>
    <col min="1" max="16" width="12.59765625" customWidth="1"/>
  </cols>
  <sheetData>
    <row r="1" spans="1:16" ht="14.25" customHeight="1" x14ac:dyDescent="0.45">
      <c r="A1" s="12" t="s">
        <v>38</v>
      </c>
      <c r="B1" s="12"/>
      <c r="C1" s="12"/>
      <c r="D1" s="12"/>
      <c r="E1" s="12"/>
      <c r="F1" s="12"/>
      <c r="G1" s="12"/>
      <c r="H1" s="11"/>
      <c r="I1" s="11"/>
      <c r="J1" s="11"/>
      <c r="K1" s="8"/>
      <c r="L1" s="8"/>
      <c r="M1" s="8"/>
      <c r="N1" s="8"/>
      <c r="O1" s="9"/>
      <c r="P1" s="9"/>
    </row>
    <row r="2" spans="1:16" ht="14.25" customHeight="1" x14ac:dyDescent="0.45">
      <c r="A2" s="12"/>
      <c r="B2" s="12"/>
      <c r="C2" s="12"/>
      <c r="D2" s="12"/>
      <c r="E2" s="12"/>
      <c r="F2" s="12"/>
      <c r="G2" s="12"/>
      <c r="H2" s="11"/>
      <c r="I2" s="11"/>
      <c r="J2" s="11"/>
      <c r="K2" s="8"/>
      <c r="L2" s="8"/>
      <c r="M2" s="8"/>
      <c r="N2" s="8"/>
      <c r="O2" s="9"/>
      <c r="P2" s="9"/>
    </row>
    <row r="3" spans="1:16" ht="14.25" customHeight="1" x14ac:dyDescent="0.45">
      <c r="A3" s="7"/>
      <c r="B3" s="7"/>
      <c r="C3" s="7"/>
      <c r="D3" s="7"/>
      <c r="E3" s="7"/>
      <c r="F3" s="7"/>
      <c r="G3" s="7"/>
      <c r="H3" s="7"/>
      <c r="I3" s="7"/>
      <c r="J3" s="7"/>
      <c r="K3" s="8"/>
      <c r="L3" s="8"/>
      <c r="M3" s="8"/>
      <c r="N3" s="8"/>
      <c r="O3" s="9"/>
      <c r="P3" s="9"/>
    </row>
    <row r="4" spans="1:16" ht="14.25" customHeight="1" x14ac:dyDescent="0.45">
      <c r="A4" s="7"/>
      <c r="B4" s="7"/>
      <c r="C4" s="7"/>
      <c r="D4" s="7"/>
      <c r="E4" s="7"/>
      <c r="F4" s="7"/>
      <c r="G4" s="7"/>
      <c r="H4" s="7"/>
      <c r="I4" s="7"/>
      <c r="J4" s="7"/>
      <c r="K4" s="8"/>
      <c r="L4" s="8"/>
      <c r="M4" s="8"/>
      <c r="N4" s="8"/>
      <c r="O4" s="9"/>
      <c r="P4" s="9"/>
    </row>
    <row r="12" spans="1:16" x14ac:dyDescent="0.45">
      <c r="E12" s="5"/>
    </row>
  </sheetData>
  <mergeCells count="1">
    <mergeCell ref="A1:G2"/>
  </mergeCells>
  <pageMargins left="0.7" right="0.7" top="0.75" bottom="0.75" header="0.3" footer="0.3"/>
  <pageSetup paperSize="9" scale="92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1C16-6326-4C48-9202-626C44CE41D3}">
  <dimension ref="A3:D5"/>
  <sheetViews>
    <sheetView zoomScale="78" workbookViewId="0">
      <selection activeCell="A5" sqref="A5"/>
    </sheetView>
  </sheetViews>
  <sheetFormatPr baseColWidth="10" defaultRowHeight="14.25" x14ac:dyDescent="0.45"/>
  <cols>
    <col min="1" max="1" width="30.59765625" bestFit="1" customWidth="1"/>
    <col min="2" max="2" width="25.59765625" bestFit="1" customWidth="1"/>
    <col min="3" max="3" width="22" bestFit="1" customWidth="1"/>
    <col min="4" max="4" width="26.46484375" bestFit="1" customWidth="1"/>
  </cols>
  <sheetData>
    <row r="3" spans="1:4" x14ac:dyDescent="0.45">
      <c r="A3" t="s">
        <v>37</v>
      </c>
      <c r="B3" t="s">
        <v>35</v>
      </c>
      <c r="C3" t="s">
        <v>36</v>
      </c>
      <c r="D3" t="s">
        <v>26</v>
      </c>
    </row>
    <row r="4" spans="1:4" x14ac:dyDescent="0.45">
      <c r="A4">
        <v>5.6440972222222188</v>
      </c>
      <c r="B4">
        <v>81183</v>
      </c>
      <c r="C4">
        <v>288</v>
      </c>
      <c r="D4">
        <v>110337</v>
      </c>
    </row>
    <row r="5" spans="1:4" x14ac:dyDescent="0.45">
      <c r="A5" s="10">
        <f>GETPIVOTDATA("Moyenne de Durée moyenne (jours)",$A$3)</f>
        <v>5.6440972222222188</v>
      </c>
      <c r="B5">
        <f>GETPIVOTDATA("Somme de Nombre de séjours",$A$3)</f>
        <v>81183</v>
      </c>
      <c r="C5">
        <f>ROWS(_xlfn.UNIQUE([1]Données!B2:B289))</f>
        <v>6</v>
      </c>
      <c r="D5" s="6">
        <f>GETPIVOTDATA("Somme de Nombre de patients",$A$3)</f>
        <v>110337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0D94-D7F4-4625-9B93-13DD0334DCB8}">
  <dimension ref="A3:B10"/>
  <sheetViews>
    <sheetView topLeftCell="D1" zoomScale="85" zoomScaleNormal="85" workbookViewId="0">
      <selection activeCell="D1" sqref="D1"/>
    </sheetView>
  </sheetViews>
  <sheetFormatPr baseColWidth="10" defaultRowHeight="14.25" x14ac:dyDescent="0.45"/>
  <cols>
    <col min="1" max="1" width="20.796875" bestFit="1" customWidth="1"/>
    <col min="2" max="2" width="26.46484375" bestFit="1" customWidth="1"/>
  </cols>
  <sheetData>
    <row r="3" spans="1:2" x14ac:dyDescent="0.45">
      <c r="A3" s="2" t="s">
        <v>1</v>
      </c>
      <c r="B3" t="s">
        <v>26</v>
      </c>
    </row>
    <row r="4" spans="1:2" x14ac:dyDescent="0.45">
      <c r="A4" s="3" t="s">
        <v>18</v>
      </c>
      <c r="B4">
        <v>17716</v>
      </c>
    </row>
    <row r="5" spans="1:2" x14ac:dyDescent="0.45">
      <c r="A5" s="3" t="s">
        <v>15</v>
      </c>
      <c r="B5">
        <v>18252</v>
      </c>
    </row>
    <row r="6" spans="1:2" x14ac:dyDescent="0.45">
      <c r="A6" s="3" t="s">
        <v>19</v>
      </c>
      <c r="B6">
        <v>18487</v>
      </c>
    </row>
    <row r="7" spans="1:2" x14ac:dyDescent="0.45">
      <c r="A7" s="3" t="s">
        <v>21</v>
      </c>
      <c r="B7">
        <v>19977</v>
      </c>
    </row>
    <row r="8" spans="1:2" x14ac:dyDescent="0.45">
      <c r="A8" s="3" t="s">
        <v>9</v>
      </c>
      <c r="B8">
        <v>19348</v>
      </c>
    </row>
    <row r="9" spans="1:2" x14ac:dyDescent="0.45">
      <c r="A9" s="3" t="s">
        <v>16</v>
      </c>
      <c r="B9">
        <v>16557</v>
      </c>
    </row>
    <row r="10" spans="1:2" x14ac:dyDescent="0.45">
      <c r="A10" s="3" t="s">
        <v>25</v>
      </c>
      <c r="B10">
        <v>110337</v>
      </c>
    </row>
  </sheetData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C271-058B-454E-81FC-026942B4DF9B}">
  <dimension ref="A1:B8"/>
  <sheetViews>
    <sheetView topLeftCell="E1" workbookViewId="0">
      <selection activeCell="G21" sqref="G21"/>
    </sheetView>
  </sheetViews>
  <sheetFormatPr baseColWidth="10" defaultRowHeight="14.25" x14ac:dyDescent="0.45"/>
  <cols>
    <col min="1" max="1" width="13.796875" bestFit="1" customWidth="1"/>
    <col min="2" max="2" width="26.46484375" bestFit="1" customWidth="1"/>
  </cols>
  <sheetData>
    <row r="1" spans="1:2" x14ac:dyDescent="0.45">
      <c r="A1" s="14" t="s">
        <v>27</v>
      </c>
      <c r="B1" s="14"/>
    </row>
    <row r="3" spans="1:2" x14ac:dyDescent="0.45">
      <c r="A3" s="2" t="s">
        <v>2</v>
      </c>
      <c r="B3" t="s">
        <v>26</v>
      </c>
    </row>
    <row r="4" spans="1:2" x14ac:dyDescent="0.45">
      <c r="A4" s="3" t="s">
        <v>20</v>
      </c>
      <c r="B4">
        <v>18487</v>
      </c>
    </row>
    <row r="5" spans="1:2" x14ac:dyDescent="0.45">
      <c r="A5" s="3" t="s">
        <v>17</v>
      </c>
      <c r="B5">
        <v>34273</v>
      </c>
    </row>
    <row r="6" spans="1:2" x14ac:dyDescent="0.45">
      <c r="A6" s="3" t="s">
        <v>10</v>
      </c>
      <c r="B6">
        <v>37600</v>
      </c>
    </row>
    <row r="7" spans="1:2" x14ac:dyDescent="0.45">
      <c r="A7" s="3" t="s">
        <v>22</v>
      </c>
      <c r="B7">
        <v>19977</v>
      </c>
    </row>
    <row r="8" spans="1:2" x14ac:dyDescent="0.45">
      <c r="A8" s="3" t="s">
        <v>25</v>
      </c>
      <c r="B8">
        <v>110337</v>
      </c>
    </row>
  </sheetData>
  <mergeCells count="1">
    <mergeCell ref="A1:B1"/>
  </mergeCells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B218-A737-4CC9-8AEE-C8C0A55135E6}">
  <dimension ref="A3:B13"/>
  <sheetViews>
    <sheetView workbookViewId="0">
      <selection activeCell="A3" sqref="A3"/>
    </sheetView>
  </sheetViews>
  <sheetFormatPr baseColWidth="10" defaultRowHeight="14.25" x14ac:dyDescent="0.45"/>
  <cols>
    <col min="1" max="1" width="17.9296875" bestFit="1" customWidth="1"/>
    <col min="2" max="2" width="26.46484375" bestFit="1" customWidth="1"/>
    <col min="3" max="3" width="8.86328125" bestFit="1" customWidth="1"/>
    <col min="4" max="4" width="8.796875" bestFit="1" customWidth="1"/>
    <col min="5" max="5" width="18.6640625" bestFit="1" customWidth="1"/>
    <col min="6" max="6" width="11.33203125" bestFit="1" customWidth="1"/>
  </cols>
  <sheetData>
    <row r="3" spans="1:2" x14ac:dyDescent="0.45">
      <c r="A3" s="2" t="s">
        <v>30</v>
      </c>
      <c r="B3" t="s">
        <v>26</v>
      </c>
    </row>
    <row r="4" spans="1:2" x14ac:dyDescent="0.45">
      <c r="A4" s="3" t="s">
        <v>12</v>
      </c>
      <c r="B4">
        <v>28054</v>
      </c>
    </row>
    <row r="5" spans="1:2" x14ac:dyDescent="0.45">
      <c r="A5" s="3" t="s">
        <v>13</v>
      </c>
      <c r="B5">
        <v>26535</v>
      </c>
    </row>
    <row r="6" spans="1:2" x14ac:dyDescent="0.45">
      <c r="A6" s="3" t="s">
        <v>11</v>
      </c>
      <c r="B6">
        <v>28771</v>
      </c>
    </row>
    <row r="7" spans="1:2" x14ac:dyDescent="0.45">
      <c r="A7" s="3" t="s">
        <v>14</v>
      </c>
      <c r="B7">
        <v>26977</v>
      </c>
    </row>
    <row r="8" spans="1:2" x14ac:dyDescent="0.45">
      <c r="A8" s="3" t="s">
        <v>25</v>
      </c>
      <c r="B8">
        <v>110337</v>
      </c>
    </row>
    <row r="13" spans="1:2" x14ac:dyDescent="0.45">
      <c r="A13" s="3" t="s">
        <v>29</v>
      </c>
    </row>
  </sheetData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6175C-54BC-4A04-A992-4D4A68033DC9}">
  <dimension ref="A1:B10"/>
  <sheetViews>
    <sheetView workbookViewId="0">
      <selection activeCell="A10" sqref="A10:B10"/>
    </sheetView>
  </sheetViews>
  <sheetFormatPr baseColWidth="10" defaultRowHeight="14.25" x14ac:dyDescent="0.45"/>
  <cols>
    <col min="1" max="1" width="19.06640625" bestFit="1" customWidth="1"/>
    <col min="2" max="2" width="29" bestFit="1" customWidth="1"/>
  </cols>
  <sheetData>
    <row r="1" spans="1:2" x14ac:dyDescent="0.45">
      <c r="A1" s="2" t="s">
        <v>3</v>
      </c>
      <c r="B1" t="s">
        <v>28</v>
      </c>
    </row>
    <row r="3" spans="1:2" x14ac:dyDescent="0.45">
      <c r="A3" s="2" t="s">
        <v>23</v>
      </c>
      <c r="B3" t="s">
        <v>24</v>
      </c>
    </row>
    <row r="4" spans="1:2" x14ac:dyDescent="0.45">
      <c r="A4" s="3" t="s">
        <v>12</v>
      </c>
      <c r="B4">
        <v>424.60000000000008</v>
      </c>
    </row>
    <row r="5" spans="1:2" x14ac:dyDescent="0.45">
      <c r="A5" s="3" t="s">
        <v>13</v>
      </c>
      <c r="B5">
        <v>364.59999999999997</v>
      </c>
    </row>
    <row r="6" spans="1:2" x14ac:dyDescent="0.45">
      <c r="A6" s="3" t="s">
        <v>11</v>
      </c>
      <c r="B6">
        <v>446.80000000000018</v>
      </c>
    </row>
    <row r="7" spans="1:2" x14ac:dyDescent="0.45">
      <c r="A7" s="3" t="s">
        <v>14</v>
      </c>
      <c r="B7">
        <v>389.50000000000006</v>
      </c>
    </row>
    <row r="8" spans="1:2" x14ac:dyDescent="0.45">
      <c r="A8" s="3" t="s">
        <v>25</v>
      </c>
      <c r="B8">
        <v>1625.5000000000002</v>
      </c>
    </row>
    <row r="10" spans="1:2" x14ac:dyDescent="0.45">
      <c r="A10" s="15" t="s">
        <v>31</v>
      </c>
      <c r="B10" s="15"/>
    </row>
  </sheetData>
  <mergeCells count="1">
    <mergeCell ref="A10:B10"/>
  </mergeCells>
  <pageMargins left="0.7" right="0.7" top="0.75" bottom="0.75" header="0.3" footer="0.3"/>
  <pageSetup paperSize="9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02FB-27AE-43BA-8815-CF42122E095C}">
  <dimension ref="A1:B12"/>
  <sheetViews>
    <sheetView zoomScale="55" zoomScaleNormal="55" workbookViewId="0">
      <selection activeCell="B29" sqref="B29"/>
    </sheetView>
  </sheetViews>
  <sheetFormatPr baseColWidth="10" defaultRowHeight="14.25" x14ac:dyDescent="0.45"/>
  <cols>
    <col min="1" max="1" width="11.73046875" bestFit="1" customWidth="1"/>
    <col min="2" max="2" width="27" bestFit="1" customWidth="1"/>
  </cols>
  <sheetData>
    <row r="1" spans="1:2" x14ac:dyDescent="0.45">
      <c r="A1" s="2" t="s">
        <v>3</v>
      </c>
      <c r="B1" s="3">
        <v>2026</v>
      </c>
    </row>
    <row r="3" spans="1:2" x14ac:dyDescent="0.45">
      <c r="A3" s="2" t="s">
        <v>4</v>
      </c>
      <c r="B3" t="s">
        <v>26</v>
      </c>
    </row>
    <row r="4" spans="1:2" x14ac:dyDescent="0.45">
      <c r="A4" s="3">
        <v>1</v>
      </c>
      <c r="B4">
        <v>9419</v>
      </c>
    </row>
    <row r="5" spans="1:2" x14ac:dyDescent="0.45">
      <c r="A5" s="3">
        <v>2</v>
      </c>
      <c r="B5">
        <v>9986</v>
      </c>
    </row>
    <row r="6" spans="1:2" x14ac:dyDescent="0.45">
      <c r="A6" s="3">
        <v>3</v>
      </c>
      <c r="B6">
        <v>8647</v>
      </c>
    </row>
    <row r="7" spans="1:2" x14ac:dyDescent="0.45">
      <c r="A7" s="3">
        <v>4</v>
      </c>
      <c r="B7">
        <v>9969</v>
      </c>
    </row>
    <row r="8" spans="1:2" x14ac:dyDescent="0.45">
      <c r="A8" s="3">
        <v>5</v>
      </c>
      <c r="B8">
        <v>8847</v>
      </c>
    </row>
    <row r="9" spans="1:2" x14ac:dyDescent="0.45">
      <c r="A9" s="3">
        <v>6</v>
      </c>
      <c r="B9">
        <v>8903</v>
      </c>
    </row>
    <row r="10" spans="1:2" x14ac:dyDescent="0.45">
      <c r="A10" s="3" t="s">
        <v>25</v>
      </c>
      <c r="B10">
        <v>55771</v>
      </c>
    </row>
    <row r="12" spans="1:2" x14ac:dyDescent="0.45">
      <c r="A12" s="15" t="s">
        <v>32</v>
      </c>
      <c r="B12" s="15"/>
    </row>
  </sheetData>
  <mergeCells count="1">
    <mergeCell ref="A12:B12"/>
  </mergeCell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Filtrage données </vt:lpstr>
      <vt:lpstr>Dashboard</vt:lpstr>
      <vt:lpstr>KPI_Dashboard</vt:lpstr>
      <vt:lpstr>Analyse_etablissement</vt:lpstr>
      <vt:lpstr>Analyse_departement</vt:lpstr>
      <vt:lpstr>Analyse_activites</vt:lpstr>
      <vt:lpstr>Analyse_duree_sejour</vt:lpstr>
      <vt:lpstr>Evolution_mensuelle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Hadjer Benaissa</cp:lastModifiedBy>
  <cp:lastPrinted>2026-07-21T21:17:02Z</cp:lastPrinted>
  <dcterms:created xsi:type="dcterms:W3CDTF">2026-07-15T18:35:29Z</dcterms:created>
  <dcterms:modified xsi:type="dcterms:W3CDTF">2026-07-21T23:52:00Z</dcterms:modified>
</cp:coreProperties>
</file>